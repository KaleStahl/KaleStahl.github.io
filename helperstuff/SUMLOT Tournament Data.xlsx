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repos\KaleStahl.github.io\static\helperstuff\"/>
    </mc:Choice>
  </mc:AlternateContent>
  <xr:revisionPtr revIDLastSave="0" documentId="13_ncr:1_{9B4B680A-5F2D-4D8A-9CA5-3FBF9C366945}" xr6:coauthVersionLast="47" xr6:coauthVersionMax="47" xr10:uidLastSave="{00000000-0000-0000-0000-000000000000}"/>
  <bookViews>
    <workbookView xWindow="-120" yWindow="-120" windowWidth="29040" windowHeight="15720" xr2:uid="{0597CD41-2417-48A5-9341-2386027B4F08}"/>
  </bookViews>
  <sheets>
    <sheet name="SUM-LOT Tournamen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H24" i="1"/>
  <c r="H25" i="1"/>
  <c r="H33" i="1"/>
  <c r="H6" i="1"/>
  <c r="I6" i="1" s="1"/>
  <c r="J20" i="1" a="1"/>
  <c r="J20" i="1" s="1"/>
  <c r="L14" i="1" a="1"/>
  <c r="L14" i="1" s="1"/>
  <c r="K14" i="1" a="1"/>
  <c r="K14" i="1" s="1"/>
  <c r="J14" i="1" a="1"/>
  <c r="J14" i="1" s="1"/>
  <c r="H14" i="1"/>
  <c r="I14" i="1" s="1"/>
  <c r="L20" i="1" a="1"/>
  <c r="L20" i="1" s="1"/>
  <c r="K20" i="1" a="1"/>
  <c r="K20" i="1" s="1"/>
  <c r="H20" i="1"/>
  <c r="I20" i="1" s="1"/>
  <c r="H63" i="1"/>
  <c r="I63" i="1" s="1"/>
  <c r="H62" i="1"/>
  <c r="I62" i="1" s="1"/>
  <c r="L6" i="1" a="1"/>
  <c r="L6" i="1" s="1"/>
  <c r="L4" i="1" a="1"/>
  <c r="L4" i="1" s="1"/>
  <c r="K4" i="1" a="1"/>
  <c r="K4" i="1" s="1"/>
  <c r="J4" i="1" a="1"/>
  <c r="J4" i="1" s="1"/>
  <c r="L5" i="1" a="1"/>
  <c r="L5" i="1" s="1"/>
  <c r="K5" i="1" a="1"/>
  <c r="K5" i="1" s="1"/>
  <c r="J5" i="1" a="1"/>
  <c r="J5" i="1" s="1"/>
  <c r="L7" i="1" a="1"/>
  <c r="L7" i="1" s="1"/>
  <c r="K7" i="1" a="1"/>
  <c r="K7" i="1" s="1"/>
  <c r="J7" i="1" a="1"/>
  <c r="J7" i="1" s="1"/>
  <c r="L8" i="1" a="1"/>
  <c r="L8" i="1" s="1"/>
  <c r="K8" i="1" a="1"/>
  <c r="K8" i="1" s="1"/>
  <c r="J8" i="1" a="1"/>
  <c r="J8" i="1" s="1"/>
  <c r="L10" i="1" a="1"/>
  <c r="L10" i="1" s="1"/>
  <c r="K10" i="1" a="1"/>
  <c r="K10" i="1" s="1"/>
  <c r="J10" i="1" a="1"/>
  <c r="J10" i="1" s="1"/>
  <c r="L9" i="1" a="1"/>
  <c r="L9" i="1" s="1"/>
  <c r="K9" i="1" a="1"/>
  <c r="K9" i="1" s="1"/>
  <c r="J9" i="1" a="1"/>
  <c r="J9" i="1" s="1"/>
  <c r="L11" i="1" a="1"/>
  <c r="L11" i="1" s="1"/>
  <c r="K11" i="1" a="1"/>
  <c r="K11" i="1" s="1"/>
  <c r="J11" i="1" a="1"/>
  <c r="J11" i="1" s="1"/>
  <c r="L12" i="1" a="1"/>
  <c r="L12" i="1" s="1"/>
  <c r="K12" i="1" a="1"/>
  <c r="K12" i="1" s="1"/>
  <c r="J12" i="1" a="1"/>
  <c r="J12" i="1" s="1"/>
  <c r="J13" i="1" a="1"/>
  <c r="J13" i="1" s="1"/>
  <c r="L13" i="1" a="1"/>
  <c r="L13" i="1" s="1"/>
  <c r="K13" i="1" a="1"/>
  <c r="K13" i="1" s="1"/>
  <c r="L15" i="1" a="1"/>
  <c r="L15" i="1" s="1"/>
  <c r="K15" i="1" a="1"/>
  <c r="K15" i="1" s="1"/>
  <c r="J15" i="1" a="1"/>
  <c r="J15" i="1" s="1"/>
  <c r="L16" i="1" a="1"/>
  <c r="L16" i="1" s="1"/>
  <c r="K16" i="1" a="1"/>
  <c r="K16" i="1" s="1"/>
  <c r="J16" i="1" a="1"/>
  <c r="J16" i="1" s="1"/>
  <c r="L17" i="1" a="1"/>
  <c r="L17" i="1" s="1"/>
  <c r="K17" i="1" a="1"/>
  <c r="K17" i="1" s="1"/>
  <c r="J17" i="1" a="1"/>
  <c r="J17" i="1" s="1"/>
  <c r="L18" i="1" a="1"/>
  <c r="L18" i="1" s="1"/>
  <c r="K18" i="1" a="1"/>
  <c r="K18" i="1" s="1"/>
  <c r="J18" i="1" a="1"/>
  <c r="J18" i="1" s="1"/>
  <c r="L19" i="1" a="1"/>
  <c r="L19" i="1" s="1"/>
  <c r="K19" i="1" a="1"/>
  <c r="K19" i="1" s="1"/>
  <c r="J19" i="1" a="1"/>
  <c r="J19" i="1" s="1"/>
  <c r="K6" i="1" a="1"/>
  <c r="K6" i="1" s="1"/>
  <c r="J6" i="1" a="1"/>
  <c r="J6" i="1" s="1"/>
  <c r="L3" i="1" a="1"/>
  <c r="L3" i="1" s="1"/>
  <c r="K3" i="1" a="1"/>
  <c r="K3" i="1" s="1"/>
  <c r="J3" i="1" a="1"/>
  <c r="J3" i="1" s="1"/>
  <c r="L2" i="1" a="1"/>
  <c r="L2" i="1" s="1"/>
  <c r="K2" i="1" a="1"/>
  <c r="K2" i="1" s="1"/>
  <c r="J2" i="1" a="1"/>
  <c r="J2" i="1" s="1"/>
  <c r="H27" i="1"/>
  <c r="H36" i="1"/>
  <c r="H28" i="1"/>
  <c r="H23" i="1"/>
  <c r="H35" i="1"/>
  <c r="H52" i="1"/>
  <c r="H45" i="1"/>
  <c r="H29" i="1"/>
  <c r="H32" i="1"/>
  <c r="H43" i="1"/>
  <c r="H44" i="1"/>
  <c r="H46" i="1"/>
  <c r="H39" i="1"/>
  <c r="H31" i="1"/>
  <c r="H53" i="1"/>
  <c r="H26" i="1"/>
  <c r="H37" i="1"/>
  <c r="H54" i="1"/>
  <c r="H55" i="1"/>
  <c r="H30" i="1"/>
  <c r="H40" i="1"/>
  <c r="H56" i="1"/>
  <c r="H47" i="1"/>
  <c r="H38" i="1"/>
  <c r="H41" i="1"/>
  <c r="H48" i="1"/>
  <c r="H49" i="1"/>
  <c r="H50" i="1"/>
  <c r="H51" i="1"/>
  <c r="H57" i="1"/>
  <c r="H58" i="1"/>
  <c r="H59" i="1"/>
  <c r="H42" i="1"/>
  <c r="H60" i="1"/>
  <c r="H61" i="1"/>
  <c r="H34" i="1"/>
  <c r="H5" i="1"/>
  <c r="I5" i="1" s="1"/>
  <c r="H13" i="1"/>
  <c r="I13" i="1" s="1"/>
  <c r="H18" i="1"/>
  <c r="I18" i="1" s="1"/>
  <c r="H16" i="1"/>
  <c r="I16" i="1" s="1"/>
  <c r="H19" i="1"/>
  <c r="I19" i="1" s="1"/>
  <c r="H17" i="1"/>
  <c r="I17" i="1" s="1"/>
  <c r="H3" i="1"/>
  <c r="I3" i="1" s="1"/>
  <c r="H15" i="1"/>
  <c r="I15" i="1" s="1"/>
  <c r="H4" i="1"/>
  <c r="I4" i="1" s="1"/>
  <c r="H11" i="1"/>
  <c r="I11" i="1" s="1"/>
  <c r="H7" i="1"/>
  <c r="I7" i="1" s="1"/>
  <c r="H10" i="1"/>
  <c r="I10" i="1" s="1"/>
  <c r="H12" i="1"/>
  <c r="I12" i="1" s="1"/>
  <c r="H9" i="1"/>
  <c r="I9" i="1" s="1"/>
  <c r="H8" i="1"/>
  <c r="I8" i="1" s="1"/>
  <c r="H2" i="1"/>
  <c r="I2" i="1" s="1"/>
  <c r="I49" i="1" l="1"/>
  <c r="I29" i="1"/>
  <c r="I55" i="1"/>
  <c r="I43" i="1"/>
  <c r="I44" i="1"/>
  <c r="I24" i="1"/>
  <c r="I46" i="1"/>
  <c r="I47" i="1"/>
  <c r="I60" i="1"/>
  <c r="I37" i="1"/>
  <c r="I51" i="1"/>
  <c r="I30" i="1"/>
  <c r="I40" i="1"/>
  <c r="I42" i="1"/>
  <c r="I39" i="1"/>
  <c r="I38" i="1"/>
  <c r="I61" i="1"/>
  <c r="I59" i="1"/>
  <c r="I27" i="1"/>
  <c r="I45" i="1"/>
  <c r="I50" i="1"/>
  <c r="I58" i="1"/>
  <c r="I36" i="1"/>
  <c r="I28" i="1"/>
  <c r="I33" i="1"/>
  <c r="I23" i="1"/>
  <c r="I31" i="1"/>
  <c r="I41" i="1"/>
  <c r="I54" i="1"/>
  <c r="I25" i="1"/>
  <c r="I57" i="1"/>
  <c r="I32" i="1"/>
  <c r="I35" i="1"/>
  <c r="I53" i="1"/>
  <c r="I48" i="1"/>
  <c r="I52" i="1"/>
  <c r="I26" i="1"/>
  <c r="I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<sst xmlns="http://schemas.openxmlformats.org/spreadsheetml/2006/main" count="1158" uniqueCount="333">
  <si>
    <t>Daniel Altavilla</t>
  </si>
  <si>
    <t>Nicolas Galaz</t>
  </si>
  <si>
    <t>Clifton Goh</t>
  </si>
  <si>
    <t>Jonathan Fabrizio Bellucci Lanciano</t>
  </si>
  <si>
    <t>Alex Schemanske</t>
  </si>
  <si>
    <t>Caleb Gedemer</t>
  </si>
  <si>
    <t>Zach Lesage</t>
  </si>
  <si>
    <t>Tord Reklev</t>
  </si>
  <si>
    <t>Marcelo Magalhaes</t>
  </si>
  <si>
    <t>Roberto Gomes Coregio Junior</t>
  </si>
  <si>
    <t>Ian Robb</t>
  </si>
  <si>
    <t>Robin Schulz</t>
  </si>
  <si>
    <t>Victor Freitas</t>
  </si>
  <si>
    <t>Bruno Santos Lima</t>
  </si>
  <si>
    <t>Eder Jarillo Soto</t>
  </si>
  <si>
    <t>Jorge Salas</t>
  </si>
  <si>
    <t>Riley Hulbert</t>
  </si>
  <si>
    <t>Gustavo Wada</t>
  </si>
  <si>
    <t>Joe Ruettiger</t>
  </si>
  <si>
    <t>Miloslav Posledni</t>
  </si>
  <si>
    <t>Damian Gabriel Riquel</t>
  </si>
  <si>
    <t>Vitor Lugon</t>
  </si>
  <si>
    <t>Lucas Henrique de Araujo Pereira</t>
  </si>
  <si>
    <t>Paulo Gouveia de Freitas</t>
  </si>
  <si>
    <t>Benjamin Ferrel</t>
  </si>
  <si>
    <t>Vinicius Lopes</t>
  </si>
  <si>
    <t>Michael Pramawat</t>
  </si>
  <si>
    <t>Dalton Acchetta</t>
  </si>
  <si>
    <t>Ramon Duarte</t>
  </si>
  <si>
    <t>Nelson Barros</t>
  </si>
  <si>
    <t>Nicolas Magliulo</t>
  </si>
  <si>
    <t>Manuel Jorach</t>
  </si>
  <si>
    <t>Jimmy Pendarvis</t>
  </si>
  <si>
    <t>Gabriel Massaroth</t>
  </si>
  <si>
    <t>Bryan de Vries</t>
  </si>
  <si>
    <t>Gabriel Modesto</t>
  </si>
  <si>
    <t>William Azevedo</t>
  </si>
  <si>
    <t>Agustin Campo</t>
  </si>
  <si>
    <t>Jose Marrero</t>
  </si>
  <si>
    <t>Tobias Thesing</t>
  </si>
  <si>
    <t>Felipe Carreno</t>
  </si>
  <si>
    <t>Caio Navarro</t>
  </si>
  <si>
    <t>Bastian Silva</t>
  </si>
  <si>
    <t>Dillon Bussert</t>
  </si>
  <si>
    <t>Pedro Giovannetti Marques Ricardo</t>
  </si>
  <si>
    <t>Augusto Lespier</t>
  </si>
  <si>
    <t>Fabien Pujol</t>
  </si>
  <si>
    <t>Jorge Nieto</t>
  </si>
  <si>
    <t>Rodolfo Jesus</t>
  </si>
  <si>
    <t>Thiago Burda Mayer</t>
  </si>
  <si>
    <t>Giovanni Peragallo</t>
  </si>
  <si>
    <t>Sebastian Ignacio Arias Pastene</t>
  </si>
  <si>
    <t>Pedro Freitas</t>
  </si>
  <si>
    <t>Antonio Jardim</t>
  </si>
  <si>
    <t>Renato Christian</t>
  </si>
  <si>
    <t>Javier Gamboa</t>
  </si>
  <si>
    <t>Ricardo Pereira Celebroni</t>
  </si>
  <si>
    <t>Felipe Kato</t>
  </si>
  <si>
    <t>Marcus Vinicius Silva</t>
  </si>
  <si>
    <t>Agustín Correa Pasini</t>
  </si>
  <si>
    <t>Joaquim Postal</t>
  </si>
  <si>
    <t>Eduardo Storto</t>
  </si>
  <si>
    <t>Sebastian Lugo</t>
  </si>
  <si>
    <t>Julio Cesar Crusaro</t>
  </si>
  <si>
    <t>US</t>
  </si>
  <si>
    <t>zoroarkoranguru</t>
  </si>
  <si>
    <t>CL</t>
  </si>
  <si>
    <t>granbull</t>
  </si>
  <si>
    <t>SG</t>
  </si>
  <si>
    <t>zoroarkdecidueyeninetales-alola</t>
  </si>
  <si>
    <t>AR</t>
  </si>
  <si>
    <t>zoroarkdecidueye</t>
  </si>
  <si>
    <t>buzzwolelycanroc-midnightninetales-alola</t>
  </si>
  <si>
    <t>CA</t>
  </si>
  <si>
    <t>blacephalonnaganadel</t>
  </si>
  <si>
    <t>NO</t>
  </si>
  <si>
    <t>BR</t>
  </si>
  <si>
    <t>rayquazavikavolt</t>
  </si>
  <si>
    <t>zoroarkglaceon</t>
  </si>
  <si>
    <t>buzzwoleninetales-alola</t>
  </si>
  <si>
    <t>DE</t>
  </si>
  <si>
    <t>gardevoirswampertninetales-alola</t>
  </si>
  <si>
    <t>MX</t>
  </si>
  <si>
    <t>zoroarklycanroc-midnight</t>
  </si>
  <si>
    <t>passimiantapu-koko</t>
  </si>
  <si>
    <t>CZ</t>
  </si>
  <si>
    <t>buzzwolelycanroc-midnight</t>
  </si>
  <si>
    <t>zoroarkninetales-alola</t>
  </si>
  <si>
    <t>zoroarkninetales-alolaweavile</t>
  </si>
  <si>
    <t>steelixhoopa-unbound</t>
  </si>
  <si>
    <t>AT</t>
  </si>
  <si>
    <t>zoroarkweavile</t>
  </si>
  <si>
    <t>NL</t>
  </si>
  <si>
    <t>malamartapu-koko</t>
  </si>
  <si>
    <t>FR</t>
  </si>
  <si>
    <t>decidueyeninetales-alolaswampert</t>
  </si>
  <si>
    <t>malamarnecrozma</t>
  </si>
  <si>
    <t>zoroarklycanroc-midnightweavile</t>
  </si>
  <si>
    <t>regigigasgenesect</t>
  </si>
  <si>
    <t>zoroarkbuzzwole</t>
  </si>
  <si>
    <t>jumpluffnatu</t>
  </si>
  <si>
    <t>Gwen Tran</t>
  </si>
  <si>
    <t>Franco Llamas</t>
  </si>
  <si>
    <t>Stephen Hunter</t>
  </si>
  <si>
    <t>Beckett Pierce</t>
  </si>
  <si>
    <t>Charlie Lockyer</t>
  </si>
  <si>
    <t>Dalton Didelot</t>
  </si>
  <si>
    <t>Chris Siakala</t>
  </si>
  <si>
    <t>Nixon Cedillos</t>
  </si>
  <si>
    <t>Brian Miller</t>
  </si>
  <si>
    <t>Jason Annichiarico</t>
  </si>
  <si>
    <t>Austin Ellis</t>
  </si>
  <si>
    <t>Simon Trottier-Lacasse</t>
  </si>
  <si>
    <t>Adler Pierce</t>
  </si>
  <si>
    <t>Evan Campbell</t>
  </si>
  <si>
    <t>Aaron Morgan</t>
  </si>
  <si>
    <t>Noel Totomoch</t>
  </si>
  <si>
    <t>Patrick Littleson</t>
  </si>
  <si>
    <t>Carl Sitavi</t>
  </si>
  <si>
    <t>Azul Garcia Griego</t>
  </si>
  <si>
    <t>Evan Gregory</t>
  </si>
  <si>
    <t>Tristan Fearing</t>
  </si>
  <si>
    <t>Joseph Perez</t>
  </si>
  <si>
    <t>Lance Bradshaw</t>
  </si>
  <si>
    <t>Hunter Harless</t>
  </si>
  <si>
    <t>Charlie Kerr</t>
  </si>
  <si>
    <t>Frank Diaz</t>
  </si>
  <si>
    <t>Josh Taylor</t>
  </si>
  <si>
    <t>Justin Kulas</t>
  </si>
  <si>
    <t>Ryan Antonucci</t>
  </si>
  <si>
    <t>Butch Smith</t>
  </si>
  <si>
    <t>Brandon Salazar</t>
  </si>
  <si>
    <t>Michael Bergerac</t>
  </si>
  <si>
    <t>Justin Bokhari</t>
  </si>
  <si>
    <t>Zack Taylor</t>
  </si>
  <si>
    <t>Tristan Lackey</t>
  </si>
  <si>
    <t>Noah Peltier</t>
  </si>
  <si>
    <t>Isaiah Williams</t>
  </si>
  <si>
    <t>Ryan Mefford</t>
  </si>
  <si>
    <t>Marcus Guy</t>
  </si>
  <si>
    <t>Russell Maracle</t>
  </si>
  <si>
    <t>Daniel Green</t>
  </si>
  <si>
    <t>Matthew Grooms</t>
  </si>
  <si>
    <t>Brian Goodspeed</t>
  </si>
  <si>
    <t>Eric Smith</t>
  </si>
  <si>
    <t>Rukan Shao</t>
  </si>
  <si>
    <t>Edward Khodaei</t>
  </si>
  <si>
    <t>Matt Vuchichevich</t>
  </si>
  <si>
    <t>Michael Catron</t>
  </si>
  <si>
    <t>Jeff Kang</t>
  </si>
  <si>
    <t>Chris Fulop</t>
  </si>
  <si>
    <t>Christopher Watkins</t>
  </si>
  <si>
    <t>Connor Finton</t>
  </si>
  <si>
    <t>Tony Santos</t>
  </si>
  <si>
    <t>Rob Stephens</t>
  </si>
  <si>
    <t>Nic Stewart</t>
  </si>
  <si>
    <t>Drew Cate</t>
  </si>
  <si>
    <t>Tyler Ralston</t>
  </si>
  <si>
    <t>Rudy Wade</t>
  </si>
  <si>
    <t>TJ Knowles</t>
  </si>
  <si>
    <t>Tye Pellecchia</t>
  </si>
  <si>
    <t>Joe Turrentine</t>
  </si>
  <si>
    <t>Brock Davis</t>
  </si>
  <si>
    <t>malamarnecrozma-ultra</t>
  </si>
  <si>
    <t>zoroarklycanroc-midnightninetales-alola</t>
  </si>
  <si>
    <t>hoopa-unboundshuckle</t>
  </si>
  <si>
    <t>regigigashoopa-unbound</t>
  </si>
  <si>
    <t>shucklesceptile</t>
  </si>
  <si>
    <t>necrozma-dusk-manemagnezone</t>
  </si>
  <si>
    <t>Angus Johnson</t>
  </si>
  <si>
    <t>AU</t>
  </si>
  <si>
    <t>Brent Tonisson</t>
  </si>
  <si>
    <t>Joshua Bradley</t>
  </si>
  <si>
    <t>Brett Newton</t>
  </si>
  <si>
    <t>Natalie Millar</t>
  </si>
  <si>
    <t>Jordan Palmer</t>
  </si>
  <si>
    <t>Christian Hasbani</t>
  </si>
  <si>
    <t>Vicente Rodriguez Cuevas</t>
  </si>
  <si>
    <t>Jorge Recabal</t>
  </si>
  <si>
    <t>Sergio Ruiz Olivares</t>
  </si>
  <si>
    <t>Javier Orrego Letelier</t>
  </si>
  <si>
    <t>Luiza Izaura Wiedemer Back</t>
  </si>
  <si>
    <t>Felipe Bastias</t>
  </si>
  <si>
    <t>Patricia Gonzalez Walsh</t>
  </si>
  <si>
    <t>Sebastián Lozano</t>
  </si>
  <si>
    <t>Diego Cassiraga</t>
  </si>
  <si>
    <t>Marco Cifuentes Meta</t>
  </si>
  <si>
    <t>Jean Valdivieso</t>
  </si>
  <si>
    <t>Rodrigo De Melo</t>
  </si>
  <si>
    <t>Tomas Osorio Sanzana</t>
  </si>
  <si>
    <t>Place</t>
  </si>
  <si>
    <t>Player</t>
  </si>
  <si>
    <t>Country</t>
  </si>
  <si>
    <t>Deck</t>
  </si>
  <si>
    <t>Tournament</t>
  </si>
  <si>
    <t>LAIC</t>
  </si>
  <si>
    <t>Roanoke</t>
  </si>
  <si>
    <t>Brisbane</t>
  </si>
  <si>
    <t>Special Event Chile</t>
  </si>
  <si>
    <t>Harrogate</t>
  </si>
  <si>
    <t>Philip Schulz</t>
  </si>
  <si>
    <t>zoroarkgyarados</t>
  </si>
  <si>
    <t>Raz Wolpe</t>
  </si>
  <si>
    <t>IL</t>
  </si>
  <si>
    <t>Jack Culkin</t>
  </si>
  <si>
    <t>GB</t>
  </si>
  <si>
    <t>Max Roberts</t>
  </si>
  <si>
    <t>Yosefi Gad</t>
  </si>
  <si>
    <t>Ondřej Škubal</t>
  </si>
  <si>
    <t>Sen Caubergh</t>
  </si>
  <si>
    <t>BE</t>
  </si>
  <si>
    <t>Ryan Moorhouse</t>
  </si>
  <si>
    <t>Bolly Olufon</t>
  </si>
  <si>
    <t>kyurem-white</t>
  </si>
  <si>
    <t>Goncalo Ferreira</t>
  </si>
  <si>
    <t>PT</t>
  </si>
  <si>
    <t>Adrian Fjell</t>
  </si>
  <si>
    <t>Adam Hawkins</t>
  </si>
  <si>
    <t>Jake Burnyeat</t>
  </si>
  <si>
    <t>Stian Nilsson</t>
  </si>
  <si>
    <t>blacephalonnaganadelshedinja</t>
  </si>
  <si>
    <t>Sander Wojcik</t>
  </si>
  <si>
    <t>Phong Nguyen</t>
  </si>
  <si>
    <t>Juho Kallama</t>
  </si>
  <si>
    <t>FI</t>
  </si>
  <si>
    <t>Christian Wilhelm</t>
  </si>
  <si>
    <t>Alex Dao</t>
  </si>
  <si>
    <t>Konsta Kallama</t>
  </si>
  <si>
    <t>Luke Kirkham</t>
  </si>
  <si>
    <t>buzzwoleweavile</t>
  </si>
  <si>
    <t>Siddequr Rahman</t>
  </si>
  <si>
    <t>glaceongreninja</t>
  </si>
  <si>
    <t>Stéphane Ivanoff</t>
  </si>
  <si>
    <t>Adrian Kastelik</t>
  </si>
  <si>
    <t>PL</t>
  </si>
  <si>
    <t>Michael Pustrowski</t>
  </si>
  <si>
    <t>Joni Virolainen</t>
  </si>
  <si>
    <t>Freya Pearce</t>
  </si>
  <si>
    <t>DK</t>
  </si>
  <si>
    <t>Jack Old</t>
  </si>
  <si>
    <t>Öjvind Svinhufvud</t>
  </si>
  <si>
    <t>Bert Wolters</t>
  </si>
  <si>
    <t>Steven Mao</t>
  </si>
  <si>
    <t>Paul Stringer</t>
  </si>
  <si>
    <t>Erik Bladh</t>
  </si>
  <si>
    <t>SE</t>
  </si>
  <si>
    <t>Logan Madden</t>
  </si>
  <si>
    <t>Benjamin Martinsen</t>
  </si>
  <si>
    <t>Daniel Melrose</t>
  </si>
  <si>
    <t>Daniele Matrigale</t>
  </si>
  <si>
    <t>IT</t>
  </si>
  <si>
    <t>Nathan Williams</t>
  </si>
  <si>
    <t>Jack Gregory-Campbell</t>
  </si>
  <si>
    <t>Christopher Reyes</t>
  </si>
  <si>
    <t>Tommi Lahtela</t>
  </si>
  <si>
    <t>glaceonshuckle</t>
  </si>
  <si>
    <t>Tomas Just</t>
  </si>
  <si>
    <t>Timothy Tsang</t>
  </si>
  <si>
    <t>Michael Ritchie</t>
  </si>
  <si>
    <t>Sultan Alneyadi</t>
  </si>
  <si>
    <t>AE</t>
  </si>
  <si>
    <t>buzzwolegarbodorweavile</t>
  </si>
  <si>
    <t>Darren Jacques</t>
  </si>
  <si>
    <t>Ushir Babhania</t>
  </si>
  <si>
    <t>Khalid Alhuraiz</t>
  </si>
  <si>
    <t>Saeed Ahmed BK</t>
  </si>
  <si>
    <t>Ismail Issa</t>
  </si>
  <si>
    <t>Wael Azayem</t>
  </si>
  <si>
    <t>Special Event Dubai</t>
  </si>
  <si>
    <t>Isaac Salazar</t>
  </si>
  <si>
    <t>Tomas Blei</t>
  </si>
  <si>
    <t>Alejo Antonio Salvador Iturbe</t>
  </si>
  <si>
    <t>Matias Nicolas Chillemi</t>
  </si>
  <si>
    <t>Special Event Argentina</t>
  </si>
  <si>
    <t>Miguel Angel Lopez Bernal</t>
  </si>
  <si>
    <t>Rahul Reddy</t>
  </si>
  <si>
    <t>Oliver Rochin Montijo</t>
  </si>
  <si>
    <t>Francisco Javier Quijada Durazo</t>
  </si>
  <si>
    <t>Jonathan Enrique Olguin Suarez</t>
  </si>
  <si>
    <t>oranguruswampert</t>
  </si>
  <si>
    <t>Special Event Mexico</t>
  </si>
  <si>
    <t>Alex Silva</t>
  </si>
  <si>
    <t>Gabriel Kim</t>
  </si>
  <si>
    <t>Gabriel Pereira Pinto</t>
  </si>
  <si>
    <t>João Pedro Medeiros Zambrano</t>
  </si>
  <si>
    <t>Eduardo Romanelli</t>
  </si>
  <si>
    <t>Guilherme Sinkunas Banevicius</t>
  </si>
  <si>
    <t>Special Event Campinos</t>
  </si>
  <si>
    <t>Fabrizio Inga Silva</t>
  </si>
  <si>
    <t>PE</t>
  </si>
  <si>
    <t>Oscar Taboada</t>
  </si>
  <si>
    <t>Rodrigo Pereda</t>
  </si>
  <si>
    <t>Emanuel Gauna</t>
  </si>
  <si>
    <t>Angel Arturo Corso</t>
  </si>
  <si>
    <t>Grover Tranca</t>
  </si>
  <si>
    <t>Guillermo Estupinan</t>
  </si>
  <si>
    <t>EC</t>
  </si>
  <si>
    <t>Special Event Peru</t>
  </si>
  <si>
    <t>Javier Quesada</t>
  </si>
  <si>
    <t>CR</t>
  </si>
  <si>
    <t>Gabriel Brenes</t>
  </si>
  <si>
    <t>Gregory Chrisholm</t>
  </si>
  <si>
    <t>sceptile</t>
  </si>
  <si>
    <t>Adrian Araya</t>
  </si>
  <si>
    <t>Joshua Sanchez</t>
  </si>
  <si>
    <t>Pablo Meza</t>
  </si>
  <si>
    <t>Special Event Costa Rica</t>
  </si>
  <si>
    <t>Percentage</t>
  </si>
  <si>
    <t>Count</t>
  </si>
  <si>
    <t>Deck Archetype</t>
  </si>
  <si>
    <t>Zoroark</t>
  </si>
  <si>
    <t>Granbull</t>
  </si>
  <si>
    <t>Buzzwole Lycanroc</t>
  </si>
  <si>
    <t>Rayquaza Vikavolt</t>
  </si>
  <si>
    <t>Gardevoir</t>
  </si>
  <si>
    <t>Control</t>
  </si>
  <si>
    <t>Lost March</t>
  </si>
  <si>
    <t>Malamar</t>
  </si>
  <si>
    <t>Sceptile</t>
  </si>
  <si>
    <t>Buzzgarb</t>
  </si>
  <si>
    <t>Blacephalon</t>
  </si>
  <si>
    <t>Meta Percentage</t>
  </si>
  <si>
    <t>White Kyurem</t>
  </si>
  <si>
    <t>Greninja</t>
  </si>
  <si>
    <t>Glaceon</t>
  </si>
  <si>
    <t>Necrozma Dusk Mane</t>
  </si>
  <si>
    <t>Decidueye</t>
  </si>
  <si>
    <t>Tapu Koko Spread</t>
  </si>
  <si>
    <t>quagsirenaganadel</t>
  </si>
  <si>
    <t>steelix</t>
  </si>
  <si>
    <t> Matt Vuchichevich</t>
  </si>
  <si>
    <t>Quagnag</t>
  </si>
  <si>
    <t>Steelix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</si>
</sst>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1" fillId="0" borderId="0" xfId="0" applyFont="1"/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22"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5DC8D-AFC8-4335-BF0A-6C195513B617}" name="Table1" displayName="Table1" ref="A1:E251" totalsRowShown="0" headerRowDxfId="21" dataDxfId="20">
  <autoFilter ref="A1:E251" xr:uid="{2645DC8D-AFC8-4335-BF0A-6C195513B617}"/>
  <tableColumns count="5">
    <tableColumn id="1" xr3:uid="{EBFB83A2-06BD-4308-88E7-B231CE804447}" name="Place" dataDxfId="19"/>
    <tableColumn id="2" xr3:uid="{83AB20BB-72B2-415C-AD30-06418477C823}" name="Player" dataDxfId="18"/>
    <tableColumn id="3" xr3:uid="{AAEA83DB-2F93-4456-8F57-33A7E3D845BB}" name="Country" dataDxfId="17"/>
    <tableColumn id="4" xr3:uid="{0F65492D-B882-4136-8CA6-958166F432CA}" name="Deck" dataDxfId="16"/>
    <tableColumn id="5" xr3:uid="{7E43E260-680A-4810-B32C-74D937E843E3}" name="Tournament" dataDxfId="1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58ADD-5E88-43C6-91B9-256ED0ED95D8}" name="Table2" displayName="Table2" ref="G1:L20" totalsRowShown="0" headerRowDxfId="14">
  <autoFilter ref="G1:L20" xr:uid="{29258ADD-5E88-43C6-91B9-256ED0ED95D8}"/>
  <sortState xmlns:xlrd2="http://schemas.microsoft.com/office/spreadsheetml/2017/richdata2" ref="G2:L20">
    <sortCondition descending="1" ref="H1:H20"/>
  </sortState>
  <tableColumns count="6">
    <tableColumn id="1" xr3:uid="{773F2EBE-59A2-49F7-B5C1-54BCFE348BE6}" name="Deck Archetype" dataDxfId="13"/>
    <tableColumn id="2" xr3:uid="{0149068D-445F-427F-9B49-F4E680EFD9A4}" name="Count" dataDxfId="12"/>
    <tableColumn id="3" xr3:uid="{88A9D038-BCEE-4D5E-8C1B-1F24D65C5431}" name="Meta Percentage" dataDxfId="11" dataCellStyle="Percent">
      <calculatedColumnFormula>H2/COUNTA(Table1[Deck])</calculatedColumnFormula>
    </tableColumn>
    <tableColumn id="4" xr3:uid="{B6FFFF11-223D-4E87-A524-0464B6495521}" name="Player" dataDxfId="10">
      <calculatedColumnFormula array="1">INDEX(_xlfn.TAKE(_xlfn._xlws.SORT(_xlfn._xlws.FILTER(Table1[], ISNUMBER(SEARCH("zoroark", Table1[Deck]))), 1, TRUE), 1), 1, 2)</calculatedColumnFormula>
    </tableColumn>
    <tableColumn id="5" xr3:uid="{1C8C42A2-733F-4749-9A88-E52ECC4EC412}" name="Tournament" dataDxfId="9">
      <calculatedColumnFormula array="1">INDEX(_xlfn.TAKE(_xlfn._xlws.SORT(_xlfn._xlws.FILTER(Table1[], ISNUMBER(SEARCH("zoroark", Table1[Deck]))), 1, TRUE), 1), 1, 5)</calculatedColumnFormula>
    </tableColumn>
    <tableColumn id="6" xr3:uid="{D9486E1A-7A96-4D0A-BA64-FDFCD74AAC18}" name="Place" dataDxfId="8">
      <calculatedColumnFormula array="1">INDEX(_xlfn.TAKE(_xlfn._xlws.SORT(_xlfn._xlws.FILTER(Table1[], ISNUMBER(SEARCH("zoroark", Table1[Deck]))), 1, TRUE), 1), 1, 1)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51087E-9A04-40EB-B323-D58CB2B39AE4}" name="Table5" displayName="Table5" ref="G22:L63" totalsRowShown="0" headerRowDxfId="7" dataDxfId="6">
  <autoFilter ref="G22:L63" xr:uid="{7751087E-9A04-40EB-B323-D58CB2B39AE4}">
    <filterColumn colId="0">
      <filters>
        <filter val="zoroarkbuzzwole"/>
        <filter val="zoroarkdecidueye"/>
        <filter val="zoroarkdecidueyeninetales-alola"/>
        <filter val="zoroarkglaceon"/>
        <filter val="zoroarkgyarados"/>
        <filter val="zoroarklycanroc-midnight"/>
        <filter val="zoroarklycanroc-midnightninetales-alola"/>
        <filter val="zoroarklycanroc-midnightweavile"/>
        <filter val="zoroarkninetales-alola"/>
        <filter val="zoroarkninetales-alolaweavile"/>
        <filter val="zoroarkoranguru"/>
        <filter val="zoroarkweavile"/>
      </filters>
    </filterColumn>
  </autoFilter>
  <sortState xmlns:xlrd2="http://schemas.microsoft.com/office/spreadsheetml/2017/richdata2" ref="G23:L63">
    <sortCondition descending="1" ref="I22:I63"/>
  </sortState>
  <tableColumns count="6">
    <tableColumn id="1" xr3:uid="{F568E4E7-9255-45DE-8816-062F5E56BF82}" name="Deck" dataDxfId="5"/>
    <tableColumn id="2" xr3:uid="{69FE25FA-32D4-45AD-B42D-594E4EFDE81A}" name="Count" dataDxfId="4">
      <calculatedColumnFormula xml:space="preserve"> COUNTIF(Table1[Deck],G23)</calculatedColumnFormula>
    </tableColumn>
    <tableColumn id="3" xr3:uid="{EE621137-480E-4177-93DB-84C39EB49932}" name="Percentage" dataDxfId="3" dataCellStyle="Percent">
      <calculatedColumnFormula>H23/COUNTA(Table1[Deck])</calculatedColumnFormula>
    </tableColumn>
    <tableColumn id="5" xr3:uid="{A639BD90-18B4-41D1-BB37-4A4C3E79DE8F}" name="Player" dataDxfId="2" dataCellStyle="Percent"/>
    <tableColumn id="6" xr3:uid="{E7B1AE4D-B573-411D-87D7-F4957539EB40}" name="Tournament" dataDxfId="1" dataCellStyle="Percent"/>
    <tableColumn id="7" xr3:uid="{5C566BA7-B446-420B-821C-1FC43373361B}" name="Place" dataDxfId="0" dataCellStyle="Perc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534F-01A7-4562-9EE3-8EFE9896A1D5}">
  <dimension ref="A1:M251"/>
  <sheetViews>
    <sheetView tabSelected="1" topLeftCell="B13" zoomScaleNormal="100" workbookViewId="0">
      <selection activeCell="G24" sqref="G24:L56"/>
    </sheetView>
  </sheetViews>
  <sheetFormatPr defaultRowHeight="15" x14ac:dyDescent="0.25"/>
  <cols>
    <col min="1" max="1" width="10.42578125" style="1" bestFit="1" customWidth="1"/>
    <col min="2" max="2" width="33.42578125" style="1" bestFit="1" customWidth="1"/>
    <col min="3" max="3" width="12.85546875" style="1" bestFit="1" customWidth="1"/>
    <col min="4" max="4" width="39.7109375" style="1" bestFit="1" customWidth="1"/>
    <col min="5" max="5" width="22.5703125" style="1" bestFit="1" customWidth="1"/>
    <col min="6" max="6" width="9.140625" style="1"/>
    <col min="7" max="7" width="39.7109375" style="1" bestFit="1" customWidth="1"/>
    <col min="8" max="8" width="11.140625" style="1" bestFit="1" customWidth="1"/>
    <col min="9" max="9" width="20.7109375" style="1" bestFit="1" customWidth="1"/>
    <col min="10" max="10" width="33.42578125" style="1" bestFit="1" customWidth="1"/>
    <col min="11" max="11" width="22.5703125" style="1" bestFit="1" customWidth="1"/>
    <col min="12" max="12" width="10.42578125" style="1" bestFit="1" customWidth="1"/>
    <col min="13" max="13" width="22.5703125" style="1" bestFit="1" customWidth="1"/>
    <col min="14" max="16384" width="9.140625" style="1"/>
  </cols>
  <sheetData>
    <row r="1" spans="1:12" x14ac:dyDescent="0.25">
      <c r="A1" s="2" t="s">
        <v>190</v>
      </c>
      <c r="B1" s="2" t="s">
        <v>191</v>
      </c>
      <c r="C1" s="2" t="s">
        <v>192</v>
      </c>
      <c r="D1" s="2" t="s">
        <v>193</v>
      </c>
      <c r="E1" s="2" t="s">
        <v>194</v>
      </c>
      <c r="G1" s="2" t="s">
        <v>309</v>
      </c>
      <c r="H1" s="2" t="s">
        <v>308</v>
      </c>
      <c r="I1" s="2" t="s">
        <v>321</v>
      </c>
      <c r="J1" s="2" t="s">
        <v>191</v>
      </c>
      <c r="K1" s="2" t="s">
        <v>194</v>
      </c>
      <c r="L1" s="2" t="s">
        <v>190</v>
      </c>
    </row>
    <row r="2" spans="1:12" x14ac:dyDescent="0.25">
      <c r="A2" s="1">
        <v>1</v>
      </c>
      <c r="B2" s="1" t="s">
        <v>0</v>
      </c>
      <c r="C2" s="1" t="s">
        <v>64</v>
      </c>
      <c r="D2" s="1" t="s">
        <v>65</v>
      </c>
      <c r="E2" s="1" t="s">
        <v>195</v>
      </c>
      <c r="G2" s="1" t="s">
        <v>310</v>
      </c>
      <c r="H2" s="1">
        <f>COUNTIF(Table1[Deck], "*zoroark*")</f>
        <v>71</v>
      </c>
      <c r="I2" s="3">
        <f>H2/COUNTA(Table1[Deck])</f>
        <v>0.28514056224899598</v>
      </c>
      <c r="J2" s="1" t="str" cm="1">
        <f t="array" ref="J2">INDEX(_xlfn.TAKE(_xlfn._xlws.SORT(_xlfn._xlws.FILTER(Table1[], ISNUMBER(SEARCH("zoroark", Table1[Deck]))), 1, TRUE), 1), 1, 2)</f>
        <v>Daniel Altavilla</v>
      </c>
      <c r="K2" s="1" t="str" cm="1">
        <f t="array" ref="K2">INDEX(_xlfn.TAKE(_xlfn._xlws.SORT(_xlfn._xlws.FILTER(Table1[], ISNUMBER(SEARCH("zoroark", Table1[Deck]))), 1, TRUE), 1), 1, 5)</f>
        <v>LAIC</v>
      </c>
      <c r="L2" s="1" cm="1">
        <f t="array" ref="L2">INDEX(_xlfn.TAKE(_xlfn._xlws.SORT(_xlfn._xlws.FILTER(Table1[], ISNUMBER(SEARCH("zoroark", Table1[Deck]))), 1, TRUE), 1), 1, 1)</f>
        <v>1</v>
      </c>
    </row>
    <row r="3" spans="1:12" x14ac:dyDescent="0.25">
      <c r="A3" s="1">
        <v>2</v>
      </c>
      <c r="B3" s="1" t="s">
        <v>1</v>
      </c>
      <c r="C3" s="1" t="s">
        <v>66</v>
      </c>
      <c r="D3" s="1" t="s">
        <v>67</v>
      </c>
      <c r="E3" s="1" t="s">
        <v>195</v>
      </c>
      <c r="G3" s="1" t="s">
        <v>320</v>
      </c>
      <c r="H3" s="1">
        <f>COUNTIF(Table1[Deck], "*blacephalon*")</f>
        <v>48</v>
      </c>
      <c r="I3" s="3">
        <f>H3/COUNTA(Table1[Deck])</f>
        <v>0.19277108433734941</v>
      </c>
      <c r="J3" s="1" t="str" cm="1">
        <f t="array" ref="J3">INDEX(_xlfn.TAKE(_xlfn._xlws.SORT(_xlfn._xlws.FILTER(Table1[], ISNUMBER(SEARCH("blacephalon", Table1[Deck]))), 1, TRUE), 1), 1, 2)</f>
        <v>Vicente Rodriguez Cuevas</v>
      </c>
      <c r="K3" s="1" t="str" cm="1">
        <f t="array" ref="K3">INDEX(_xlfn.TAKE(_xlfn._xlws.SORT(_xlfn._xlws.FILTER(Table1[], ISNUMBER(SEARCH("blacephalon", Table1[Deck]))), 1, TRUE), 1), 1, 5)</f>
        <v>Special Event Chile</v>
      </c>
      <c r="L3" s="1" cm="1">
        <f t="array" ref="L3">INDEX(_xlfn.TAKE(_xlfn._xlws.SORT(_xlfn._xlws.FILTER(Table1[], ISNUMBER(SEARCH("blacephalon", Table1[Deck]))), 1, TRUE), 1), 1, 1)</f>
        <v>1</v>
      </c>
    </row>
    <row r="4" spans="1:12" x14ac:dyDescent="0.25">
      <c r="A4" s="1">
        <v>3</v>
      </c>
      <c r="B4" s="1" t="s">
        <v>2</v>
      </c>
      <c r="C4" s="1" t="s">
        <v>68</v>
      </c>
      <c r="D4" s="1" t="s">
        <v>69</v>
      </c>
      <c r="E4" s="1" t="s">
        <v>195</v>
      </c>
      <c r="G4" s="1" t="s">
        <v>317</v>
      </c>
      <c r="H4" s="1">
        <f>COUNTIF(Table1[Deck], "*malamar*")</f>
        <v>31</v>
      </c>
      <c r="I4" s="3">
        <f>H4/COUNTA(Table1[Deck])</f>
        <v>0.12449799196787148</v>
      </c>
      <c r="J4" s="1" t="str" cm="1">
        <f t="array" ref="J4">INDEX(_xlfn.TAKE(_xlfn._xlws.SORT(_xlfn._xlws.FILTER(Table1[], ISNUMBER(SEARCH("malamar", Table1[Deck]))), 1, TRUE), 1), 1, 2)</f>
        <v>Tye Pellecchia</v>
      </c>
      <c r="K4" s="1" t="str" cm="1">
        <f t="array" ref="K4">INDEX(_xlfn.TAKE(_xlfn._xlws.SORT(_xlfn._xlws.FILTER(Table1[], ISNUMBER(SEARCH("malamar", Table1[Deck]))), 1, TRUE), 1), 1, 5)</f>
        <v>Special Event Costa Rica</v>
      </c>
      <c r="L4" s="1" cm="1">
        <f t="array" ref="L4">INDEX(_xlfn.TAKE(_xlfn._xlws.SORT(_xlfn._xlws.FILTER(Table1[], ISNUMBER(SEARCH("malamar", Table1[Deck]))), 1, TRUE), 1), 1, 1)</f>
        <v>1</v>
      </c>
    </row>
    <row r="5" spans="1:12" x14ac:dyDescent="0.25">
      <c r="A5" s="1">
        <v>4</v>
      </c>
      <c r="B5" s="1" t="s">
        <v>3</v>
      </c>
      <c r="C5" s="1" t="s">
        <v>70</v>
      </c>
      <c r="D5" s="1" t="s">
        <v>71</v>
      </c>
      <c r="E5" s="1" t="s">
        <v>195</v>
      </c>
      <c r="G5" s="1" t="s">
        <v>326</v>
      </c>
      <c r="H5" s="1">
        <f>COUNTIF(Table1[Deck], "*decidueye*")</f>
        <v>25</v>
      </c>
      <c r="I5" s="3">
        <f>H5/COUNTA(Table1[Deck])</f>
        <v>0.10040160642570281</v>
      </c>
      <c r="J5" s="1" t="str" cm="1">
        <f t="array" ref="J5">INDEX(_xlfn.TAKE(_xlfn._xlws.SORT(_xlfn._xlws.FILTER(Table1[], ISNUMBER(SEARCH("decidueye", Table1[Deck]))), 1, TRUE), 1), 1, 2)</f>
        <v>Angus Johnson</v>
      </c>
      <c r="K5" s="1" t="str" cm="1">
        <f t="array" ref="K5">INDEX(_xlfn.TAKE(_xlfn._xlws.SORT(_xlfn._xlws.FILTER(Table1[], ISNUMBER(SEARCH("decidueye", Table1[Deck]))), 1, TRUE), 1), 1, 5)</f>
        <v>Brisbane</v>
      </c>
      <c r="L5" s="1" cm="1">
        <f t="array" ref="L5">INDEX(_xlfn.TAKE(_xlfn._xlws.SORT(_xlfn._xlws.FILTER(Table1[], ISNUMBER(SEARCH("decidueye", Table1[Deck]))), 1, TRUE), 1), 1, 1)</f>
        <v>1</v>
      </c>
    </row>
    <row r="6" spans="1:12" x14ac:dyDescent="0.25">
      <c r="A6" s="1">
        <v>5</v>
      </c>
      <c r="B6" s="1" t="s">
        <v>4</v>
      </c>
      <c r="C6" s="1" t="s">
        <v>64</v>
      </c>
      <c r="D6" s="1" t="s">
        <v>72</v>
      </c>
      <c r="E6" s="1" t="s">
        <v>195</v>
      </c>
      <c r="G6" s="1" t="s">
        <v>315</v>
      </c>
      <c r="H6" s="1">
        <f>COUNTIF(Table1[Deck], "*oranguru*")+COUNTIF(Table1[Deck], "*hoopa*")+ COUNTIF(Table1[Deck], "*regigigas*")</f>
        <v>24</v>
      </c>
      <c r="I6" s="3">
        <f>H6/COUNTA(Table1[Deck])</f>
        <v>9.6385542168674704E-2</v>
      </c>
      <c r="J6" s="1" t="str" cm="1">
        <f t="array" ref="J6">INDEX(_xlfn.TAKE(_xlfn._xlws.SORT(_xlfn._xlws.FILTER(Table1[], ISNUMBER(SEARCH("oranguru", Table1[Deck]))), 1, TRUE), 1), 1, 2)</f>
        <v>Daniel Altavilla</v>
      </c>
      <c r="K6" s="1" t="str" cm="1">
        <f t="array" ref="K6">INDEX(_xlfn.TAKE(_xlfn._xlws.SORT(_xlfn._xlws.FILTER(Table1[], ISNUMBER(SEARCH("oranguru", Table1[Deck]))), 1, TRUE), 1), 1, 5)</f>
        <v>LAIC</v>
      </c>
      <c r="L6" s="1" cm="1">
        <f t="array" ref="L6">INDEX(_xlfn.TAKE(_xlfn._xlws.SORT(_xlfn._xlws.FILTER(Table1[], ISNUMBER(SEARCH("oranguru", Table1[Deck]))), 1, TRUE), 1), 1, 1)</f>
        <v>1</v>
      </c>
    </row>
    <row r="7" spans="1:12" x14ac:dyDescent="0.25">
      <c r="A7" s="1">
        <v>6</v>
      </c>
      <c r="B7" s="1" t="s">
        <v>5</v>
      </c>
      <c r="C7" s="1" t="s">
        <v>64</v>
      </c>
      <c r="D7" s="1" t="s">
        <v>65</v>
      </c>
      <c r="E7" s="1" t="s">
        <v>195</v>
      </c>
      <c r="G7" s="1" t="s">
        <v>327</v>
      </c>
      <c r="H7" s="1">
        <f>COUNTIF(Table1[Deck], "*tapu-koko*")</f>
        <v>17</v>
      </c>
      <c r="I7" s="3">
        <f>H7/COUNTA(Table1[Deck])</f>
        <v>6.8273092369477914E-2</v>
      </c>
      <c r="J7" s="1" t="str" cm="1">
        <f t="array" ref="J7">INDEX(_xlfn.TAKE(_xlfn._xlws.SORT(_xlfn._xlws.FILTER(Table1[], ISNUMBER(SEARCH("tapu-koko", Table1[Deck]))), 1, TRUE), 1), 1, 2)</f>
        <v>Patricia Gonzalez Walsh</v>
      </c>
      <c r="K7" s="1" t="str" cm="1">
        <f t="array" ref="K7">INDEX(_xlfn.TAKE(_xlfn._xlws.SORT(_xlfn._xlws.FILTER(Table1[], ISNUMBER(SEARCH("tapu-koko", Table1[Deck]))), 1, TRUE), 1), 1, 5)</f>
        <v>Special Event Argentina</v>
      </c>
      <c r="L7" s="1" cm="1">
        <f t="array" ref="L7">INDEX(_xlfn.TAKE(_xlfn._xlws.SORT(_xlfn._xlws.FILTER(Table1[], ISNUMBER(SEARCH("tapu-koko", Table1[Deck]))), 1, TRUE), 1), 1, 1)</f>
        <v>1</v>
      </c>
    </row>
    <row r="8" spans="1:12" x14ac:dyDescent="0.25">
      <c r="A8" s="1">
        <v>7</v>
      </c>
      <c r="B8" s="1" t="s">
        <v>6</v>
      </c>
      <c r="C8" s="1" t="s">
        <v>73</v>
      </c>
      <c r="D8" s="1" t="s">
        <v>74</v>
      </c>
      <c r="E8" s="1" t="s">
        <v>195</v>
      </c>
      <c r="G8" s="1" t="s">
        <v>311</v>
      </c>
      <c r="H8" s="1">
        <f>COUNTIF(Table1[Deck], "*granbull*")</f>
        <v>16</v>
      </c>
      <c r="I8" s="3">
        <f>H8/COUNTA(Table1[Deck])</f>
        <v>6.4257028112449793E-2</v>
      </c>
      <c r="J8" s="1" t="str" cm="1">
        <f t="array" ref="J8">INDEX(_xlfn.TAKE(_xlfn._xlws.SORT(_xlfn._xlws.FILTER(Table1[], ISNUMBER(SEARCH("granbull", Table1[Deck]))), 1, TRUE), 1), 1, 2)</f>
        <v>Nicolas Galaz</v>
      </c>
      <c r="K8" s="1" t="str" cm="1">
        <f t="array" ref="K8">INDEX(_xlfn.TAKE(_xlfn._xlws.SORT(_xlfn._xlws.FILTER(Table1[], ISNUMBER(SEARCH("granbull", Table1[Deck]))), 1, TRUE), 1), 1, 5)</f>
        <v>LAIC</v>
      </c>
      <c r="L8" s="1" cm="1">
        <f t="array" ref="L8">INDEX(_xlfn.TAKE(_xlfn._xlws.SORT(_xlfn._xlws.FILTER(Table1[], ISNUMBER(SEARCH("granbull", Table1[Deck]))), 1, TRUE), 1), 1, 1)</f>
        <v>2</v>
      </c>
    </row>
    <row r="9" spans="1:12" x14ac:dyDescent="0.25">
      <c r="A9" s="1">
        <v>8</v>
      </c>
      <c r="B9" s="1" t="s">
        <v>7</v>
      </c>
      <c r="C9" s="1" t="s">
        <v>75</v>
      </c>
      <c r="D9" s="1" t="s">
        <v>67</v>
      </c>
      <c r="E9" s="1" t="s">
        <v>195</v>
      </c>
      <c r="G9" s="1" t="s">
        <v>312</v>
      </c>
      <c r="H9" s="1">
        <f>COUNTIF(Table1[Deck], "*buzzwolelycanroc*")</f>
        <v>14</v>
      </c>
      <c r="I9" s="3">
        <f>H9/COUNTA(Table1[Deck])</f>
        <v>5.6224899598393573E-2</v>
      </c>
      <c r="J9" s="1" t="str" cm="1">
        <f t="array" ref="J9">INDEX(_xlfn.TAKE(_xlfn._xlws.SORT(_xlfn._xlws.FILTER(Table1[], ISNUMBER(SEARCH("buzzwolelycanroc", Table1[Deck]))), 1, TRUE), 1), 1, 2)</f>
        <v>Alex Schemanske</v>
      </c>
      <c r="K9" s="1" t="str" cm="1">
        <f t="array" ref="K9">INDEX(_xlfn.TAKE(_xlfn._xlws.SORT(_xlfn._xlws.FILTER(Table1[], ISNUMBER(SEARCH("buzzwolelycanroc", Table1[Deck]))), 1, TRUE), 1), 1, 5)</f>
        <v>LAIC</v>
      </c>
      <c r="L9" s="1" cm="1">
        <f t="array" ref="L9">INDEX(_xlfn.TAKE(_xlfn._xlws.SORT(_xlfn._xlws.FILTER(Table1[], ISNUMBER(SEARCH("buzzwolelycanroc", Table1[Deck]))), 1, TRUE), 1), 1, 1)</f>
        <v>5</v>
      </c>
    </row>
    <row r="10" spans="1:12" x14ac:dyDescent="0.25">
      <c r="A10" s="1">
        <v>9</v>
      </c>
      <c r="B10" s="1" t="s">
        <v>8</v>
      </c>
      <c r="C10" s="1" t="s">
        <v>76</v>
      </c>
      <c r="D10" s="1" t="s">
        <v>77</v>
      </c>
      <c r="E10" s="1" t="s">
        <v>195</v>
      </c>
      <c r="G10" s="1" t="s">
        <v>314</v>
      </c>
      <c r="H10" s="1">
        <f>COUNTIF(Table1[Deck], "*gardevoir*")</f>
        <v>11</v>
      </c>
      <c r="I10" s="3">
        <f>H10/COUNTA(Table1[Deck])</f>
        <v>4.4176706827309238E-2</v>
      </c>
      <c r="J10" s="1" t="str" cm="1">
        <f t="array" ref="J10">INDEX(_xlfn.TAKE(_xlfn._xlws.SORT(_xlfn._xlws.FILTER(Table1[], ISNUMBER(SEARCH("gardevoir", Table1[Deck]))), 1, TRUE), 1), 1, 2)</f>
        <v>Jimmy Pendarvis</v>
      </c>
      <c r="K10" s="1" t="str" cm="1">
        <f t="array" ref="K10">INDEX(_xlfn.TAKE(_xlfn._xlws.SORT(_xlfn._xlws.FILTER(Table1[], ISNUMBER(SEARCH("gardevoir", Table1[Deck]))), 1, TRUE), 1), 1, 5)</f>
        <v>Roanoke</v>
      </c>
      <c r="L10" s="1" cm="1">
        <f t="array" ref="L10">INDEX(_xlfn.TAKE(_xlfn._xlws.SORT(_xlfn._xlws.FILTER(Table1[], ISNUMBER(SEARCH("gardevoir", Table1[Deck]))), 1, TRUE), 1), 1, 1)</f>
        <v>1</v>
      </c>
    </row>
    <row r="11" spans="1:12" x14ac:dyDescent="0.25">
      <c r="A11" s="1">
        <v>10</v>
      </c>
      <c r="B11" s="1" t="s">
        <v>9</v>
      </c>
      <c r="C11" s="1" t="s">
        <v>76</v>
      </c>
      <c r="D11" s="1" t="s">
        <v>78</v>
      </c>
      <c r="E11" s="1" t="s">
        <v>195</v>
      </c>
      <c r="G11" s="1" t="s">
        <v>316</v>
      </c>
      <c r="H11" s="1">
        <f>COUNTIF(Table1[Deck], "*jumpluff*")</f>
        <v>11</v>
      </c>
      <c r="I11" s="3">
        <f>H11/COUNTA(Table1[Deck])</f>
        <v>4.4176706827309238E-2</v>
      </c>
      <c r="J11" s="1" t="str" cm="1">
        <f t="array" ref="J11">INDEX(_xlfn.TAKE(_xlfn._xlws.SORT(_xlfn._xlws.FILTER(Table1[], ISNUMBER(SEARCH("jumpluff", Table1[Deck]))), 1, TRUE), 1), 1, 2)</f>
        <v>Oscar Taboada</v>
      </c>
      <c r="K11" s="1" t="str" cm="1">
        <f t="array" ref="K11">INDEX(_xlfn.TAKE(_xlfn._xlws.SORT(_xlfn._xlws.FILTER(Table1[], ISNUMBER(SEARCH("jumpluff", Table1[Deck]))), 1, TRUE), 1), 1, 5)</f>
        <v>Special Event Peru</v>
      </c>
      <c r="L11" s="1" cm="1">
        <f t="array" ref="L11">INDEX(_xlfn.TAKE(_xlfn._xlws.SORT(_xlfn._xlws.FILTER(Table1[], ISNUMBER(SEARCH("jumpluff", Table1[Deck]))), 1, TRUE), 1), 1, 1)</f>
        <v>2</v>
      </c>
    </row>
    <row r="12" spans="1:12" x14ac:dyDescent="0.25">
      <c r="A12" s="1">
        <v>11</v>
      </c>
      <c r="B12" s="1" t="s">
        <v>10</v>
      </c>
      <c r="C12" s="1" t="s">
        <v>64</v>
      </c>
      <c r="D12" s="1" t="s">
        <v>79</v>
      </c>
      <c r="E12" s="1" t="s">
        <v>195</v>
      </c>
      <c r="G12" s="1" t="s">
        <v>313</v>
      </c>
      <c r="H12" s="1">
        <f>COUNTIF(Table1[Deck], "*rayquaza*")</f>
        <v>6</v>
      </c>
      <c r="I12" s="3">
        <f>H12/COUNTA(Table1[Deck])</f>
        <v>2.4096385542168676E-2</v>
      </c>
      <c r="J12" s="1" t="str" cm="1">
        <f t="array" ref="J12">INDEX(_xlfn.TAKE(_xlfn._xlws.SORT(_xlfn._xlws.FILTER(Table1[], ISNUMBER(SEARCH("rayquaza", Table1[Deck]))), 1, TRUE), 1), 1, 2)</f>
        <v>Marcelo Magalhaes</v>
      </c>
      <c r="K12" s="1" t="str" cm="1">
        <f t="array" ref="K12">INDEX(_xlfn.TAKE(_xlfn._xlws.SORT(_xlfn._xlws.FILTER(Table1[], ISNUMBER(SEARCH("rayquaza", Table1[Deck]))), 1, TRUE), 1), 1, 5)</f>
        <v>LAIC</v>
      </c>
      <c r="L12" s="1" cm="1">
        <f t="array" ref="L12">INDEX(_xlfn.TAKE(_xlfn._xlws.SORT(_xlfn._xlws.FILTER(Table1[], ISNUMBER(SEARCH("rayquaza", Table1[Deck]))), 1, TRUE), 1), 1, 1)</f>
        <v>9</v>
      </c>
    </row>
    <row r="13" spans="1:12" x14ac:dyDescent="0.25">
      <c r="A13" s="1">
        <v>12</v>
      </c>
      <c r="B13" s="1" t="s">
        <v>11</v>
      </c>
      <c r="C13" s="1" t="s">
        <v>80</v>
      </c>
      <c r="D13" s="1" t="s">
        <v>81</v>
      </c>
      <c r="E13" s="1" t="s">
        <v>195</v>
      </c>
      <c r="G13" s="1" t="s">
        <v>318</v>
      </c>
      <c r="H13" s="1">
        <f>COUNTIF(Table1[Deck], "*sceptile*")</f>
        <v>5</v>
      </c>
      <c r="I13" s="3">
        <f>H13/COUNTA(Table1[Deck])</f>
        <v>2.0080321285140562E-2</v>
      </c>
      <c r="J13" s="1" t="str" cm="1">
        <f t="array" ref="J13">INDEX(_xlfn.TAKE(_xlfn._xlws.SORT(_xlfn._xlws.FILTER(Table1[], ISNUMBER(SEARCH("sceptile", Table1[Deck]))), 1, TRUE), 1), 1, 2)</f>
        <v>Gregory Chrisholm</v>
      </c>
      <c r="K13" s="1" t="str" cm="1">
        <f t="array" ref="K13">INDEX(_xlfn.TAKE(_xlfn._xlws.SORT(_xlfn._xlws.FILTER(Table1[], ISNUMBER(SEARCH("sceptile", Table1[Deck]))), 1, TRUE), 1), 1, 5)</f>
        <v>Special Event Costa Rica</v>
      </c>
      <c r="L13" s="1" cm="1">
        <f t="array" ref="L13">INDEX(_xlfn.TAKE(_xlfn._xlws.SORT(_xlfn._xlws.FILTER(Table1[], ISNUMBER(SEARCH("sceptile", Table1[Deck]))), 1, TRUE), 1), 1, 1)</f>
        <v>5</v>
      </c>
    </row>
    <row r="14" spans="1:12" x14ac:dyDescent="0.25">
      <c r="A14" s="1">
        <v>13</v>
      </c>
      <c r="B14" s="1" t="s">
        <v>12</v>
      </c>
      <c r="C14" s="1" t="s">
        <v>76</v>
      </c>
      <c r="D14" s="1" t="s">
        <v>67</v>
      </c>
      <c r="E14" s="1" t="s">
        <v>195</v>
      </c>
      <c r="G14" s="1" t="s">
        <v>332</v>
      </c>
      <c r="H14" s="1">
        <f>COUNTIF(Table1[Deck], "*steelix*")</f>
        <v>5</v>
      </c>
      <c r="I14" s="3">
        <f>H14/COUNTA(Table1[Deck])</f>
        <v>2.0080321285140562E-2</v>
      </c>
      <c r="J14" s="1" t="str" cm="1">
        <f t="array" ref="J14">INDEX(_xlfn.TAKE(_xlfn._xlws.SORT(_xlfn._xlws.FILTER(Table1[], ISNUMBER(SEARCH("steelix", Table1[Deck]))), 1, TRUE), 1), 1, 2)</f>
        <v>Adrian Fjell</v>
      </c>
      <c r="K14" s="1" t="str" cm="1">
        <f t="array" ref="K14">INDEX(_xlfn.TAKE(_xlfn._xlws.SORT(_xlfn._xlws.FILTER(Table1[], ISNUMBER(SEARCH("steelix", Table1[Deck]))), 1, TRUE), 1), 1, 5)</f>
        <v>Harrogate</v>
      </c>
      <c r="L14" s="1" cm="1">
        <f t="array" ref="L14">INDEX(_xlfn.TAKE(_xlfn._xlws.SORT(_xlfn._xlws.FILTER(Table1[], ISNUMBER(SEARCH("steelix", Table1[Deck]))), 1, TRUE), 1), 1, 1)</f>
        <v>11</v>
      </c>
    </row>
    <row r="15" spans="1:12" x14ac:dyDescent="0.25">
      <c r="A15" s="1">
        <v>14</v>
      </c>
      <c r="B15" s="1" t="s">
        <v>13</v>
      </c>
      <c r="C15" s="1" t="s">
        <v>76</v>
      </c>
      <c r="D15" s="1" t="s">
        <v>69</v>
      </c>
      <c r="E15" s="1" t="s">
        <v>195</v>
      </c>
      <c r="G15" s="1" t="s">
        <v>319</v>
      </c>
      <c r="H15" s="1">
        <f>COUNTIF(Table1[Deck], "*buzzwolegarb*")</f>
        <v>4</v>
      </c>
      <c r="I15" s="3">
        <f>H15/COUNTA(Table1[Deck])</f>
        <v>1.6064257028112448E-2</v>
      </c>
      <c r="J15" s="1" t="str" cm="1">
        <f t="array" ref="J15">INDEX(_xlfn.TAKE(_xlfn._xlws.SORT(_xlfn._xlws.FILTER(Table1[], ISNUMBER(SEARCH("buzzwolegarb", Table1[Deck]))), 1, TRUE), 1), 1, 2)</f>
        <v>Sultan Alneyadi</v>
      </c>
      <c r="K15" s="1" t="str" cm="1">
        <f t="array" ref="K15">INDEX(_xlfn.TAKE(_xlfn._xlws.SORT(_xlfn._xlws.FILTER(Table1[], ISNUMBER(SEARCH("buzzwolegarb", Table1[Deck]))), 1, TRUE), 1), 1, 5)</f>
        <v>Special Event Dubai</v>
      </c>
      <c r="L15" s="1" cm="1">
        <f t="array" ref="L15">INDEX(_xlfn.TAKE(_xlfn._xlws.SORT(_xlfn._xlws.FILTER(Table1[], ISNUMBER(SEARCH("buzzwolegarb", Table1[Deck]))), 1, TRUE), 1), 1, 1)</f>
        <v>1</v>
      </c>
    </row>
    <row r="16" spans="1:12" x14ac:dyDescent="0.25">
      <c r="A16" s="1">
        <v>15</v>
      </c>
      <c r="B16" s="1" t="s">
        <v>14</v>
      </c>
      <c r="C16" s="1" t="s">
        <v>82</v>
      </c>
      <c r="D16" s="1" t="s">
        <v>69</v>
      </c>
      <c r="E16" s="1" t="s">
        <v>195</v>
      </c>
      <c r="G16" s="1" t="s">
        <v>324</v>
      </c>
      <c r="H16" s="1">
        <f>COUNTIF(Table1[Deck], "*glaceon*")</f>
        <v>3</v>
      </c>
      <c r="I16" s="3">
        <f>H16/COUNTA(Table1[Deck])</f>
        <v>1.2048192771084338E-2</v>
      </c>
      <c r="J16" s="1" t="str" cm="1">
        <f t="array" ref="J16">INDEX(_xlfn.TAKE(_xlfn._xlws.SORT(_xlfn._xlws.FILTER(Table1[], ISNUMBER(SEARCH("glaceon", Table1[Deck]))), 1, TRUE), 1), 1, 2)</f>
        <v>Roberto Gomes Coregio Junior</v>
      </c>
      <c r="K16" s="1" t="str" cm="1">
        <f t="array" ref="K16">INDEX(_xlfn.TAKE(_xlfn._xlws.SORT(_xlfn._xlws.FILTER(Table1[], ISNUMBER(SEARCH("glaceon", Table1[Deck]))), 1, TRUE), 1), 1, 5)</f>
        <v>LAIC</v>
      </c>
      <c r="L16" s="1" cm="1">
        <f t="array" ref="L16">INDEX(_xlfn.TAKE(_xlfn._xlws.SORT(_xlfn._xlws.FILTER(Table1[], ISNUMBER(SEARCH("glaceon", Table1[Deck]))), 1, TRUE), 1), 1, 1)</f>
        <v>10</v>
      </c>
    </row>
    <row r="17" spans="1:13" x14ac:dyDescent="0.25">
      <c r="A17" s="1">
        <v>16</v>
      </c>
      <c r="B17" s="1" t="s">
        <v>15</v>
      </c>
      <c r="C17" s="1" t="s">
        <v>66</v>
      </c>
      <c r="D17" s="1" t="s">
        <v>83</v>
      </c>
      <c r="E17" s="1" t="s">
        <v>195</v>
      </c>
      <c r="G17" s="1" t="s">
        <v>322</v>
      </c>
      <c r="H17" s="1">
        <f>COUNTIF(Table1[Deck], "*kyurem*")</f>
        <v>2</v>
      </c>
      <c r="I17" s="3">
        <f>H17/COUNTA(Table1[Deck])</f>
        <v>8.0321285140562242E-3</v>
      </c>
      <c r="J17" s="1" t="str" cm="1">
        <f t="array" ref="J17">INDEX(_xlfn.TAKE(_xlfn._xlws.SORT(_xlfn._xlws.FILTER(Table1[], ISNUMBER(SEARCH("kyurem", Table1[Deck]))), 1, TRUE), 1), 1, 2)</f>
        <v>Bolly Olufon</v>
      </c>
      <c r="K17" s="1" t="str" cm="1">
        <f t="array" ref="K17">INDEX(_xlfn.TAKE(_xlfn._xlws.SORT(_xlfn._xlws.FILTER(Table1[], ISNUMBER(SEARCH("kyurem", Table1[Deck]))), 1, TRUE), 1), 1, 5)</f>
        <v>Harrogate</v>
      </c>
      <c r="L17" s="1" cm="1">
        <f t="array" ref="L17">INDEX(_xlfn.TAKE(_xlfn._xlws.SORT(_xlfn._xlws.FILTER(Table1[], ISNUMBER(SEARCH("kyurem", Table1[Deck]))), 1, TRUE), 1), 1, 1)</f>
        <v>9</v>
      </c>
    </row>
    <row r="18" spans="1:13" x14ac:dyDescent="0.25">
      <c r="A18" s="1">
        <v>17</v>
      </c>
      <c r="B18" s="1" t="s">
        <v>16</v>
      </c>
      <c r="C18" s="1" t="s">
        <v>64</v>
      </c>
      <c r="D18" s="1" t="s">
        <v>65</v>
      </c>
      <c r="E18" s="1" t="s">
        <v>195</v>
      </c>
      <c r="G18" s="1" t="s">
        <v>325</v>
      </c>
      <c r="H18" s="1">
        <f>COUNTIF(Table1[Deck], "*necrozma-dusk*")</f>
        <v>2</v>
      </c>
      <c r="I18" s="3">
        <f>H18/COUNTA(Table1[Deck])</f>
        <v>8.0321285140562242E-3</v>
      </c>
      <c r="J18" s="1" t="str" cm="1">
        <f t="array" ref="J18">INDEX(_xlfn.TAKE(_xlfn._xlws.SORT(_xlfn._xlws.FILTER(Table1[], ISNUMBER(SEARCH("necrozma-dusk", Table1[Deck]))), 1, TRUE), 1), 1, 2)</f>
        <v>Tomas Osorio Sanzana</v>
      </c>
      <c r="K18" s="1" t="str" cm="1">
        <f t="array" ref="K18">INDEX(_xlfn.TAKE(_xlfn._xlws.SORT(_xlfn._xlws.FILTER(Table1[], ISNUMBER(SEARCH("necrozma-dusk", Table1[Deck]))), 1, TRUE), 1), 1, 5)</f>
        <v>Special Event Chile</v>
      </c>
      <c r="L18" s="1" cm="1">
        <f t="array" ref="L18">INDEX(_xlfn.TAKE(_xlfn._xlws.SORT(_xlfn._xlws.FILTER(Table1[], ISNUMBER(SEARCH("necrozma-dusk", Table1[Deck]))), 1, TRUE), 1), 1, 1)</f>
        <v>16</v>
      </c>
    </row>
    <row r="19" spans="1:13" x14ac:dyDescent="0.25">
      <c r="A19" s="1">
        <v>18</v>
      </c>
      <c r="B19" s="1" t="s">
        <v>17</v>
      </c>
      <c r="C19" s="1" t="s">
        <v>76</v>
      </c>
      <c r="D19" s="1" t="s">
        <v>84</v>
      </c>
      <c r="E19" s="1" t="s">
        <v>195</v>
      </c>
      <c r="G19" s="1" t="s">
        <v>323</v>
      </c>
      <c r="H19" s="1">
        <f>COUNTIF(Table1[Deck], "*greninja*")</f>
        <v>1</v>
      </c>
      <c r="I19" s="3">
        <f>H19/COUNTA(Table1[Deck])</f>
        <v>4.0160642570281121E-3</v>
      </c>
      <c r="J19" s="1" t="str" cm="1">
        <f t="array" ref="J19">INDEX(_xlfn.TAKE(_xlfn._xlws.SORT(_xlfn._xlws.FILTER(Table1[], ISNUMBER(SEARCH("greninja", Table1[Deck]))), 1, TRUE), 1), 1, 2)</f>
        <v>Siddequr Rahman</v>
      </c>
      <c r="K19" s="1" t="str" cm="1">
        <f t="array" ref="K19">INDEX(_xlfn.TAKE(_xlfn._xlws.SORT(_xlfn._xlws.FILTER(Table1[], ISNUMBER(SEARCH("greninja", Table1[Deck]))), 1, TRUE), 1), 1, 5)</f>
        <v>Harrogate</v>
      </c>
      <c r="L19" s="1" cm="1">
        <f t="array" ref="L19">INDEX(_xlfn.TAKE(_xlfn._xlws.SORT(_xlfn._xlws.FILTER(Table1[], ISNUMBER(SEARCH("greninja", Table1[Deck]))), 1, TRUE), 1), 1, 1)</f>
        <v>24</v>
      </c>
    </row>
    <row r="20" spans="1:13" x14ac:dyDescent="0.25">
      <c r="A20" s="1">
        <v>19</v>
      </c>
      <c r="B20" s="1" t="s">
        <v>18</v>
      </c>
      <c r="C20" s="1" t="s">
        <v>64</v>
      </c>
      <c r="D20" s="1" t="s">
        <v>65</v>
      </c>
      <c r="E20" s="1" t="s">
        <v>195</v>
      </c>
      <c r="G20" s="1" t="s">
        <v>331</v>
      </c>
      <c r="H20" s="1">
        <f>COUNTIF(Table1[Deck], "*quagsire*")</f>
        <v>1</v>
      </c>
      <c r="I20" s="3">
        <f>H20/COUNTA(Table1[Deck])</f>
        <v>4.0160642570281121E-3</v>
      </c>
      <c r="J20" s="1" t="str" cm="1">
        <f t="array" ref="J20">INDEX(_xlfn.TAKE(_xlfn._xlws.SORT(_xlfn._xlws.FILTER(Table1[], ISNUMBER(SEARCH("quagsire", Table1[Deck]))), 1, TRUE), 1), 1, 2)</f>
        <v>Matt Vuchichevich</v>
      </c>
      <c r="K20" s="1" t="str" cm="1">
        <f t="array" ref="K20">INDEX(_xlfn.TAKE(_xlfn._xlws.SORT(_xlfn._xlws.FILTER(Table1[], ISNUMBER(SEARCH("quagsire", Table1[Deck]))), 1, TRUE), 1), 1, 5)</f>
        <v>Roanoke</v>
      </c>
      <c r="L20" s="1" cm="1">
        <f t="array" ref="L20">INDEX(_xlfn.TAKE(_xlfn._xlws.SORT(_xlfn._xlws.FILTER(Table1[], ISNUMBER(SEARCH("quagsire", Table1[Deck]))), 1, TRUE), 1), 1, 1)</f>
        <v>53</v>
      </c>
      <c r="M20" s="4"/>
    </row>
    <row r="21" spans="1:13" x14ac:dyDescent="0.25">
      <c r="A21" s="1">
        <v>20</v>
      </c>
      <c r="B21" s="1" t="s">
        <v>19</v>
      </c>
      <c r="C21" s="1" t="s">
        <v>85</v>
      </c>
      <c r="D21" s="1" t="s">
        <v>83</v>
      </c>
      <c r="E21" s="1" t="s">
        <v>195</v>
      </c>
    </row>
    <row r="22" spans="1:13" x14ac:dyDescent="0.25">
      <c r="A22" s="1">
        <v>21</v>
      </c>
      <c r="B22" s="1" t="s">
        <v>20</v>
      </c>
      <c r="C22" s="1" t="s">
        <v>70</v>
      </c>
      <c r="D22" s="1" t="s">
        <v>86</v>
      </c>
      <c r="E22" s="1" t="s">
        <v>195</v>
      </c>
      <c r="G22" s="2" t="s">
        <v>193</v>
      </c>
      <c r="H22" s="2" t="s">
        <v>308</v>
      </c>
      <c r="I22" s="2" t="s">
        <v>307</v>
      </c>
      <c r="J22" s="2" t="s">
        <v>191</v>
      </c>
      <c r="K22" s="2" t="s">
        <v>194</v>
      </c>
      <c r="L22" s="2" t="s">
        <v>190</v>
      </c>
    </row>
    <row r="23" spans="1:13" hidden="1" x14ac:dyDescent="0.25">
      <c r="A23" s="1">
        <v>22</v>
      </c>
      <c r="B23" s="1" t="s">
        <v>21</v>
      </c>
      <c r="C23" s="1" t="s">
        <v>76</v>
      </c>
      <c r="D23" s="1" t="s">
        <v>83</v>
      </c>
      <c r="E23" s="1" t="s">
        <v>195</v>
      </c>
      <c r="G23" s="1" t="s">
        <v>74</v>
      </c>
      <c r="H23" s="1">
        <f xml:space="preserve"> COUNTIF(Table1[Deck],G23)</f>
        <v>46</v>
      </c>
      <c r="I23" s="3">
        <f>H23/COUNTA(Table1[Deck])</f>
        <v>0.18473895582329317</v>
      </c>
      <c r="J23" s="1" t="s">
        <v>177</v>
      </c>
      <c r="K23" s="1" t="s">
        <v>198</v>
      </c>
      <c r="L23" s="1">
        <v>1</v>
      </c>
    </row>
    <row r="24" spans="1:13" x14ac:dyDescent="0.25">
      <c r="A24" s="1">
        <v>23</v>
      </c>
      <c r="B24" s="1" t="s">
        <v>22</v>
      </c>
      <c r="C24" s="1" t="s">
        <v>76</v>
      </c>
      <c r="D24" s="1" t="s">
        <v>84</v>
      </c>
      <c r="E24" s="1" t="s">
        <v>195</v>
      </c>
      <c r="G24" s="1" t="s">
        <v>69</v>
      </c>
      <c r="H24" s="1">
        <f xml:space="preserve"> COUNTIF(Table1[Deck],G24)</f>
        <v>19</v>
      </c>
      <c r="I24" s="3">
        <f>H24/COUNTA(Table1[Deck])</f>
        <v>7.6305220883534142E-2</v>
      </c>
      <c r="J24" s="1" t="s">
        <v>169</v>
      </c>
      <c r="K24" s="1" t="s">
        <v>197</v>
      </c>
      <c r="L24" s="1">
        <v>1</v>
      </c>
    </row>
    <row r="25" spans="1:13" x14ac:dyDescent="0.25">
      <c r="A25" s="1">
        <v>24</v>
      </c>
      <c r="B25" s="1" t="s">
        <v>23</v>
      </c>
      <c r="C25" s="1" t="s">
        <v>76</v>
      </c>
      <c r="D25" s="1" t="s">
        <v>86</v>
      </c>
      <c r="E25" s="1" t="s">
        <v>195</v>
      </c>
      <c r="G25" s="1" t="s">
        <v>83</v>
      </c>
      <c r="H25" s="1">
        <f xml:space="preserve"> COUNTIF(Table1[Deck],G25)</f>
        <v>19</v>
      </c>
      <c r="I25" s="3">
        <f>H25/COUNTA(Table1[Deck])</f>
        <v>7.6305220883534142E-2</v>
      </c>
      <c r="J25" s="1" t="s">
        <v>180</v>
      </c>
      <c r="K25" s="1" t="s">
        <v>198</v>
      </c>
      <c r="L25" s="1">
        <v>4</v>
      </c>
    </row>
    <row r="26" spans="1:13" hidden="1" x14ac:dyDescent="0.25">
      <c r="A26" s="1">
        <v>25</v>
      </c>
      <c r="B26" s="1" t="s">
        <v>24</v>
      </c>
      <c r="C26" s="1" t="s">
        <v>66</v>
      </c>
      <c r="D26" s="1" t="s">
        <v>87</v>
      </c>
      <c r="E26" s="1" t="s">
        <v>195</v>
      </c>
      <c r="G26" s="1" t="s">
        <v>96</v>
      </c>
      <c r="H26" s="1">
        <f xml:space="preserve"> COUNTIF(Table1[Deck],G26)</f>
        <v>17</v>
      </c>
      <c r="I26" s="3">
        <f>H26/COUNTA(Table1[Deck])</f>
        <v>6.8273092369477914E-2</v>
      </c>
      <c r="J26" s="1" t="s">
        <v>160</v>
      </c>
      <c r="K26" s="1" t="s">
        <v>306</v>
      </c>
      <c r="L26" s="1">
        <v>1</v>
      </c>
    </row>
    <row r="27" spans="1:13" hidden="1" x14ac:dyDescent="0.25">
      <c r="A27" s="1">
        <v>26</v>
      </c>
      <c r="B27" s="1" t="s">
        <v>25</v>
      </c>
      <c r="C27" s="1" t="s">
        <v>76</v>
      </c>
      <c r="D27" s="1" t="s">
        <v>77</v>
      </c>
      <c r="E27" s="1" t="s">
        <v>195</v>
      </c>
      <c r="G27" s="1" t="s">
        <v>67</v>
      </c>
      <c r="H27" s="1">
        <f xml:space="preserve"> COUNTIF(Table1[Deck],G27)</f>
        <v>16</v>
      </c>
      <c r="I27" s="3">
        <f>H27/COUNTA(Table1[Deck])</f>
        <v>6.4257028112449793E-2</v>
      </c>
      <c r="J27" s="1" t="s">
        <v>1</v>
      </c>
      <c r="K27" s="1" t="s">
        <v>195</v>
      </c>
      <c r="L27" s="1">
        <v>2</v>
      </c>
    </row>
    <row r="28" spans="1:13" hidden="1" x14ac:dyDescent="0.25">
      <c r="A28" s="1">
        <v>27</v>
      </c>
      <c r="B28" s="1" t="s">
        <v>26</v>
      </c>
      <c r="C28" s="1" t="s">
        <v>64</v>
      </c>
      <c r="D28" s="1" t="s">
        <v>65</v>
      </c>
      <c r="E28" s="1" t="s">
        <v>195</v>
      </c>
      <c r="G28" s="1" t="s">
        <v>72</v>
      </c>
      <c r="H28" s="1">
        <f xml:space="preserve"> COUNTIF(Table1[Deck],G28)</f>
        <v>11</v>
      </c>
      <c r="I28" s="3">
        <f>H28/COUNTA(Table1[Deck])</f>
        <v>4.4176706827309238E-2</v>
      </c>
      <c r="J28" s="1" t="s">
        <v>4</v>
      </c>
      <c r="K28" s="1" t="s">
        <v>195</v>
      </c>
      <c r="L28" s="1">
        <v>5</v>
      </c>
    </row>
    <row r="29" spans="1:13" hidden="1" x14ac:dyDescent="0.25">
      <c r="A29" s="1">
        <v>28</v>
      </c>
      <c r="B29" s="1" t="s">
        <v>27</v>
      </c>
      <c r="C29" s="1" t="s">
        <v>76</v>
      </c>
      <c r="D29" s="1" t="s">
        <v>77</v>
      </c>
      <c r="E29" s="1" t="s">
        <v>195</v>
      </c>
      <c r="G29" s="1" t="s">
        <v>81</v>
      </c>
      <c r="H29" s="1">
        <f xml:space="preserve"> COUNTIF(Table1[Deck],G29)</f>
        <v>11</v>
      </c>
      <c r="I29" s="3">
        <f>H29/COUNTA(Table1[Deck])</f>
        <v>4.4176706827309238E-2</v>
      </c>
      <c r="J29" s="1" t="s">
        <v>32</v>
      </c>
      <c r="K29" s="1" t="s">
        <v>196</v>
      </c>
      <c r="L29" s="1">
        <v>1</v>
      </c>
    </row>
    <row r="30" spans="1:13" hidden="1" x14ac:dyDescent="0.25">
      <c r="A30" s="1">
        <v>29</v>
      </c>
      <c r="B30" s="1" t="s">
        <v>28</v>
      </c>
      <c r="C30" s="1" t="s">
        <v>76</v>
      </c>
      <c r="D30" s="1" t="s">
        <v>88</v>
      </c>
      <c r="E30" s="1" t="s">
        <v>195</v>
      </c>
      <c r="G30" s="1" t="s">
        <v>100</v>
      </c>
      <c r="H30" s="1">
        <f xml:space="preserve"> COUNTIF(Table1[Deck],G30)</f>
        <v>11</v>
      </c>
      <c r="I30" s="3">
        <f>H30/COUNTA(Table1[Deck])</f>
        <v>4.4176706827309238E-2</v>
      </c>
      <c r="J30" s="1" t="s">
        <v>290</v>
      </c>
      <c r="K30" s="1" t="s">
        <v>297</v>
      </c>
      <c r="L30" s="1">
        <v>2</v>
      </c>
    </row>
    <row r="31" spans="1:13" hidden="1" x14ac:dyDescent="0.25">
      <c r="A31" s="1">
        <v>30</v>
      </c>
      <c r="B31" s="1" t="s">
        <v>29</v>
      </c>
      <c r="C31" s="1" t="s">
        <v>76</v>
      </c>
      <c r="D31" s="1" t="s">
        <v>89</v>
      </c>
      <c r="E31" s="1" t="s">
        <v>195</v>
      </c>
      <c r="G31" s="1" t="s">
        <v>93</v>
      </c>
      <c r="H31" s="1">
        <f xml:space="preserve"> COUNTIF(Table1[Deck],G31)</f>
        <v>10</v>
      </c>
      <c r="I31" s="3">
        <f>H31/COUNTA(Table1[Deck])</f>
        <v>4.0160642570281124E-2</v>
      </c>
      <c r="J31" s="1" t="s">
        <v>206</v>
      </c>
      <c r="K31" s="1" t="s">
        <v>199</v>
      </c>
      <c r="L31" s="1">
        <v>4</v>
      </c>
    </row>
    <row r="32" spans="1:13" hidden="1" x14ac:dyDescent="0.25">
      <c r="A32" s="1">
        <v>31</v>
      </c>
      <c r="B32" s="1" t="s">
        <v>30</v>
      </c>
      <c r="C32" s="1" t="s">
        <v>70</v>
      </c>
      <c r="D32" s="1" t="s">
        <v>83</v>
      </c>
      <c r="E32" s="1" t="s">
        <v>195</v>
      </c>
      <c r="G32" s="1" t="s">
        <v>84</v>
      </c>
      <c r="H32" s="1">
        <f xml:space="preserve"> COUNTIF(Table1[Deck],G32)</f>
        <v>7</v>
      </c>
      <c r="I32" s="3">
        <f>H32/COUNTA(Table1[Deck])</f>
        <v>2.8112449799196786E-2</v>
      </c>
      <c r="J32" s="1" t="s">
        <v>183</v>
      </c>
      <c r="K32" s="1" t="s">
        <v>273</v>
      </c>
      <c r="L32" s="1">
        <v>1</v>
      </c>
    </row>
    <row r="33" spans="1:12" x14ac:dyDescent="0.25">
      <c r="A33" s="1">
        <v>32</v>
      </c>
      <c r="B33" s="1" t="s">
        <v>31</v>
      </c>
      <c r="C33" s="1" t="s">
        <v>90</v>
      </c>
      <c r="D33" s="1" t="s">
        <v>74</v>
      </c>
      <c r="E33" s="1" t="s">
        <v>195</v>
      </c>
      <c r="G33" s="1" t="s">
        <v>91</v>
      </c>
      <c r="H33" s="1">
        <f xml:space="preserve"> COUNTIF(Table1[Deck],G33)</f>
        <v>7</v>
      </c>
      <c r="I33" s="3">
        <f>H33/COUNTA(Table1[Deck])</f>
        <v>2.8112449799196786E-2</v>
      </c>
      <c r="J33" s="1" t="s">
        <v>283</v>
      </c>
      <c r="K33" s="1" t="s">
        <v>287</v>
      </c>
      <c r="L33" s="1">
        <v>3</v>
      </c>
    </row>
    <row r="34" spans="1:12" x14ac:dyDescent="0.25">
      <c r="A34" s="1">
        <v>33</v>
      </c>
      <c r="B34" s="1" t="s">
        <v>32</v>
      </c>
      <c r="C34" s="1" t="s">
        <v>64</v>
      </c>
      <c r="D34" s="1" t="s">
        <v>65</v>
      </c>
      <c r="E34" s="1" t="s">
        <v>195</v>
      </c>
      <c r="G34" s="1" t="s">
        <v>65</v>
      </c>
      <c r="H34" s="1">
        <f xml:space="preserve"> COUNTIF(Table1[Deck],G34)</f>
        <v>6</v>
      </c>
      <c r="I34" s="3">
        <f>H34/COUNTA(Table1[Deck])</f>
        <v>2.4096385542168676E-2</v>
      </c>
      <c r="J34" s="1" t="s">
        <v>0</v>
      </c>
      <c r="K34" s="1" t="s">
        <v>195</v>
      </c>
      <c r="L34" s="1">
        <v>1</v>
      </c>
    </row>
    <row r="35" spans="1:12" hidden="1" x14ac:dyDescent="0.25">
      <c r="A35" s="1">
        <v>34</v>
      </c>
      <c r="B35" s="1" t="s">
        <v>33</v>
      </c>
      <c r="C35" s="1" t="s">
        <v>76</v>
      </c>
      <c r="D35" s="1" t="s">
        <v>91</v>
      </c>
      <c r="E35" s="1" t="s">
        <v>195</v>
      </c>
      <c r="G35" s="1" t="s">
        <v>77</v>
      </c>
      <c r="H35" s="1">
        <f xml:space="preserve"> COUNTIF(Table1[Deck],G35)</f>
        <v>6</v>
      </c>
      <c r="I35" s="3">
        <f>H35/COUNTA(Table1[Deck])</f>
        <v>2.4096385542168676E-2</v>
      </c>
      <c r="J35" s="1" t="s">
        <v>8</v>
      </c>
      <c r="K35" s="1" t="s">
        <v>195</v>
      </c>
      <c r="L35" s="1">
        <v>9</v>
      </c>
    </row>
    <row r="36" spans="1:12" x14ac:dyDescent="0.25">
      <c r="A36" s="1">
        <v>35</v>
      </c>
      <c r="B36" s="1" t="s">
        <v>34</v>
      </c>
      <c r="C36" s="1" t="s">
        <v>92</v>
      </c>
      <c r="D36" s="1" t="s">
        <v>69</v>
      </c>
      <c r="E36" s="1" t="s">
        <v>195</v>
      </c>
      <c r="G36" s="1" t="s">
        <v>71</v>
      </c>
      <c r="H36" s="1">
        <f xml:space="preserve"> COUNTIF(Table1[Deck],G36)</f>
        <v>5</v>
      </c>
      <c r="I36" s="3">
        <f>H36/COUNTA(Table1[Deck])</f>
        <v>2.0080321285140562E-2</v>
      </c>
      <c r="J36" s="1" t="s">
        <v>3</v>
      </c>
      <c r="K36" s="1" t="s">
        <v>195</v>
      </c>
      <c r="L36" s="1">
        <v>4</v>
      </c>
    </row>
    <row r="37" spans="1:12" x14ac:dyDescent="0.25">
      <c r="A37" s="1">
        <v>36</v>
      </c>
      <c r="B37" s="1" t="s">
        <v>35</v>
      </c>
      <c r="C37" s="1" t="s">
        <v>76</v>
      </c>
      <c r="D37" s="1" t="s">
        <v>93</v>
      </c>
      <c r="E37" s="1" t="s">
        <v>195</v>
      </c>
      <c r="G37" s="1" t="s">
        <v>97</v>
      </c>
      <c r="H37" s="1">
        <f xml:space="preserve"> COUNTIF(Table1[Deck],G37)</f>
        <v>5</v>
      </c>
      <c r="I37" s="3">
        <f>H37/COUNTA(Table1[Deck])</f>
        <v>2.0080321285140562E-2</v>
      </c>
      <c r="J37" s="1" t="s">
        <v>281</v>
      </c>
      <c r="K37" s="1" t="s">
        <v>287</v>
      </c>
      <c r="L37" s="1">
        <v>1</v>
      </c>
    </row>
    <row r="38" spans="1:12" hidden="1" x14ac:dyDescent="0.25">
      <c r="A38" s="1">
        <v>37</v>
      </c>
      <c r="B38" s="1" t="s">
        <v>36</v>
      </c>
      <c r="C38" s="1" t="s">
        <v>76</v>
      </c>
      <c r="D38" s="1" t="s">
        <v>93</v>
      </c>
      <c r="E38" s="1" t="s">
        <v>195</v>
      </c>
      <c r="G38" s="1" t="s">
        <v>166</v>
      </c>
      <c r="H38" s="1">
        <f xml:space="preserve"> COUNTIF(Table1[Deck],G38)</f>
        <v>5</v>
      </c>
      <c r="I38" s="3">
        <f>H38/COUNTA(Table1[Deck])</f>
        <v>2.0080321285140562E-2</v>
      </c>
      <c r="J38" s="1" t="s">
        <v>221</v>
      </c>
      <c r="K38" s="1" t="s">
        <v>199</v>
      </c>
      <c r="L38" s="1">
        <v>15</v>
      </c>
    </row>
    <row r="39" spans="1:12" hidden="1" x14ac:dyDescent="0.25">
      <c r="A39" s="1">
        <v>38</v>
      </c>
      <c r="B39" s="1" t="s">
        <v>37</v>
      </c>
      <c r="C39" s="1" t="s">
        <v>70</v>
      </c>
      <c r="D39" s="1" t="s">
        <v>69</v>
      </c>
      <c r="E39" s="1" t="s">
        <v>195</v>
      </c>
      <c r="G39" s="1" t="s">
        <v>89</v>
      </c>
      <c r="H39" s="1">
        <f xml:space="preserve"> COUNTIF(Table1[Deck],G39)</f>
        <v>4</v>
      </c>
      <c r="I39" s="3">
        <f>H39/COUNTA(Table1[Deck])</f>
        <v>1.6064257028112448E-2</v>
      </c>
      <c r="J39" s="1" t="s">
        <v>115</v>
      </c>
      <c r="K39" s="1" t="s">
        <v>196</v>
      </c>
      <c r="L39" s="1">
        <v>19</v>
      </c>
    </row>
    <row r="40" spans="1:12" hidden="1" x14ac:dyDescent="0.25">
      <c r="A40" s="1">
        <v>39</v>
      </c>
      <c r="B40" s="1" t="s">
        <v>38</v>
      </c>
      <c r="C40" s="1" t="s">
        <v>64</v>
      </c>
      <c r="D40" s="1" t="s">
        <v>83</v>
      </c>
      <c r="E40" s="1" t="s">
        <v>195</v>
      </c>
      <c r="G40" s="1" t="s">
        <v>163</v>
      </c>
      <c r="H40" s="1">
        <f xml:space="preserve"> COUNTIF(Table1[Deck],G40)</f>
        <v>4</v>
      </c>
      <c r="I40" s="3">
        <f>H40/COUNTA(Table1[Deck])</f>
        <v>1.6064257028112448E-2</v>
      </c>
      <c r="J40" s="1" t="s">
        <v>106</v>
      </c>
      <c r="K40" s="1" t="s">
        <v>196</v>
      </c>
      <c r="L40" s="1">
        <v>7</v>
      </c>
    </row>
    <row r="41" spans="1:12" hidden="1" x14ac:dyDescent="0.25">
      <c r="A41" s="1">
        <v>40</v>
      </c>
      <c r="B41" s="1" t="s">
        <v>39</v>
      </c>
      <c r="C41" s="1" t="s">
        <v>80</v>
      </c>
      <c r="D41" s="1" t="s">
        <v>81</v>
      </c>
      <c r="E41" s="1" t="s">
        <v>195</v>
      </c>
      <c r="G41" s="1" t="s">
        <v>167</v>
      </c>
      <c r="H41" s="1">
        <f xml:space="preserve"> COUNTIF(Table1[Deck],G41)</f>
        <v>4</v>
      </c>
      <c r="I41" s="3">
        <f>H41/COUNTA(Table1[Deck])</f>
        <v>1.6064257028112448E-2</v>
      </c>
      <c r="J41" s="1" t="s">
        <v>17</v>
      </c>
      <c r="K41" s="1" t="s">
        <v>198</v>
      </c>
      <c r="L41" s="1">
        <v>7</v>
      </c>
    </row>
    <row r="42" spans="1:12" hidden="1" x14ac:dyDescent="0.25">
      <c r="A42" s="1">
        <v>41</v>
      </c>
      <c r="B42" s="1" t="s">
        <v>40</v>
      </c>
      <c r="C42" s="1" t="s">
        <v>66</v>
      </c>
      <c r="D42" s="1" t="s">
        <v>93</v>
      </c>
      <c r="E42" s="1" t="s">
        <v>195</v>
      </c>
      <c r="G42" s="1" t="s">
        <v>261</v>
      </c>
      <c r="H42" s="1">
        <f xml:space="preserve"> COUNTIF(Table1[Deck],G42)</f>
        <v>4</v>
      </c>
      <c r="I42" s="3">
        <f>H42/COUNTA(Table1[Deck])</f>
        <v>1.6064257028112448E-2</v>
      </c>
      <c r="J42" s="1" t="s">
        <v>259</v>
      </c>
      <c r="K42" s="1" t="s">
        <v>268</v>
      </c>
      <c r="L42" s="1">
        <v>1</v>
      </c>
    </row>
    <row r="43" spans="1:12" hidden="1" x14ac:dyDescent="0.25">
      <c r="A43" s="1">
        <v>42</v>
      </c>
      <c r="B43" s="1" t="s">
        <v>41</v>
      </c>
      <c r="C43" s="1" t="s">
        <v>76</v>
      </c>
      <c r="D43" s="1" t="s">
        <v>74</v>
      </c>
      <c r="E43" s="1" t="s">
        <v>195</v>
      </c>
      <c r="G43" s="1" t="s">
        <v>86</v>
      </c>
      <c r="H43" s="1">
        <f xml:space="preserve"> COUNTIF(Table1[Deck],G43)</f>
        <v>3</v>
      </c>
      <c r="I43" s="3">
        <f>H43/COUNTA(Table1[Deck])</f>
        <v>1.2048192771084338E-2</v>
      </c>
      <c r="J43" s="1" t="s">
        <v>20</v>
      </c>
      <c r="K43" s="1" t="s">
        <v>195</v>
      </c>
      <c r="L43" s="1">
        <v>21</v>
      </c>
    </row>
    <row r="44" spans="1:12" x14ac:dyDescent="0.25">
      <c r="A44" s="1">
        <v>43</v>
      </c>
      <c r="B44" s="1" t="s">
        <v>42</v>
      </c>
      <c r="C44" s="1" t="s">
        <v>66</v>
      </c>
      <c r="D44" s="1" t="s">
        <v>83</v>
      </c>
      <c r="E44" s="1" t="s">
        <v>195</v>
      </c>
      <c r="G44" s="1" t="s">
        <v>87</v>
      </c>
      <c r="H44" s="1">
        <f xml:space="preserve"> COUNTIF(Table1[Deck],G44)</f>
        <v>3</v>
      </c>
      <c r="I44" s="3">
        <f>H44/COUNTA(Table1[Deck])</f>
        <v>1.2048192771084338E-2</v>
      </c>
      <c r="J44" s="1" t="s">
        <v>204</v>
      </c>
      <c r="K44" s="1" t="s">
        <v>199</v>
      </c>
      <c r="L44" s="1">
        <v>3</v>
      </c>
    </row>
    <row r="45" spans="1:12" hidden="1" x14ac:dyDescent="0.25">
      <c r="A45" s="1">
        <v>44</v>
      </c>
      <c r="B45" s="1" t="s">
        <v>43</v>
      </c>
      <c r="C45" s="1" t="s">
        <v>64</v>
      </c>
      <c r="D45" s="1" t="s">
        <v>74</v>
      </c>
      <c r="E45" s="1" t="s">
        <v>195</v>
      </c>
      <c r="G45" s="1" t="s">
        <v>79</v>
      </c>
      <c r="H45" s="1">
        <f xml:space="preserve"> COUNTIF(Table1[Deck],G45)</f>
        <v>2</v>
      </c>
      <c r="I45" s="3">
        <f>H45/COUNTA(Table1[Deck])</f>
        <v>8.0321285140562242E-3</v>
      </c>
      <c r="J45" s="1" t="s">
        <v>10</v>
      </c>
      <c r="K45" s="1" t="s">
        <v>195</v>
      </c>
      <c r="L45" s="1">
        <v>11</v>
      </c>
    </row>
    <row r="46" spans="1:12" x14ac:dyDescent="0.25">
      <c r="A46" s="1">
        <v>45</v>
      </c>
      <c r="B46" s="1" t="s">
        <v>44</v>
      </c>
      <c r="C46" s="1" t="s">
        <v>76</v>
      </c>
      <c r="D46" s="1" t="s">
        <v>74</v>
      </c>
      <c r="E46" s="1" t="s">
        <v>195</v>
      </c>
      <c r="G46" s="1" t="s">
        <v>88</v>
      </c>
      <c r="H46" s="1">
        <f xml:space="preserve"> COUNTIF(Table1[Deck],G46)</f>
        <v>2</v>
      </c>
      <c r="I46" s="3">
        <f>H46/COUNTA(Table1[Deck])</f>
        <v>8.0321285140562242E-3</v>
      </c>
      <c r="J46" s="1" t="s">
        <v>275</v>
      </c>
      <c r="K46" s="1" t="s">
        <v>306</v>
      </c>
      <c r="L46" s="1">
        <v>3</v>
      </c>
    </row>
    <row r="47" spans="1:12" hidden="1" x14ac:dyDescent="0.25">
      <c r="A47" s="1">
        <v>46</v>
      </c>
      <c r="B47" s="1" t="s">
        <v>45</v>
      </c>
      <c r="C47" s="1" t="s">
        <v>76</v>
      </c>
      <c r="D47" s="1" t="s">
        <v>83</v>
      </c>
      <c r="E47" s="1" t="s">
        <v>195</v>
      </c>
      <c r="G47" s="1" t="s">
        <v>165</v>
      </c>
      <c r="H47" s="1">
        <f xml:space="preserve"> COUNTIF(Table1[Deck],G47)</f>
        <v>2</v>
      </c>
      <c r="I47" s="3">
        <f>H47/COUNTA(Table1[Deck])</f>
        <v>8.0321285140562242E-3</v>
      </c>
      <c r="J47" s="1" t="s">
        <v>294</v>
      </c>
      <c r="K47" s="1" t="s">
        <v>297</v>
      </c>
      <c r="L47" s="1">
        <v>7</v>
      </c>
    </row>
    <row r="48" spans="1:12" hidden="1" x14ac:dyDescent="0.25">
      <c r="A48" s="1">
        <v>47</v>
      </c>
      <c r="B48" s="1" t="s">
        <v>46</v>
      </c>
      <c r="C48" s="1" t="s">
        <v>94</v>
      </c>
      <c r="D48" s="1" t="s">
        <v>95</v>
      </c>
      <c r="E48" s="1" t="s">
        <v>195</v>
      </c>
      <c r="G48" s="1" t="s">
        <v>168</v>
      </c>
      <c r="H48" s="1">
        <f xml:space="preserve"> COUNTIF(Table1[Deck],G48)</f>
        <v>2</v>
      </c>
      <c r="I48" s="3">
        <f>H48/COUNTA(Table1[Deck])</f>
        <v>8.0321285140562242E-3</v>
      </c>
      <c r="J48" s="1" t="s">
        <v>189</v>
      </c>
      <c r="K48" s="1" t="s">
        <v>198</v>
      </c>
      <c r="L48" s="1">
        <v>16</v>
      </c>
    </row>
    <row r="49" spans="1:12" x14ac:dyDescent="0.25">
      <c r="A49" s="1">
        <v>48</v>
      </c>
      <c r="B49" s="1" t="s">
        <v>47</v>
      </c>
      <c r="C49" s="1" t="s">
        <v>66</v>
      </c>
      <c r="D49" s="1" t="s">
        <v>96</v>
      </c>
      <c r="E49" s="1" t="s">
        <v>195</v>
      </c>
      <c r="G49" s="1" t="s">
        <v>201</v>
      </c>
      <c r="H49" s="1">
        <f xml:space="preserve"> COUNTIF(Table1[Deck],G49)</f>
        <v>2</v>
      </c>
      <c r="I49" s="3">
        <f>H49/COUNTA(Table1[Deck])</f>
        <v>8.0321285140562242E-3</v>
      </c>
      <c r="J49" s="1" t="s">
        <v>200</v>
      </c>
      <c r="K49" s="1" t="s">
        <v>199</v>
      </c>
      <c r="L49" s="1">
        <v>1</v>
      </c>
    </row>
    <row r="50" spans="1:12" hidden="1" x14ac:dyDescent="0.25">
      <c r="A50" s="1">
        <v>49</v>
      </c>
      <c r="B50" s="1" t="s">
        <v>48</v>
      </c>
      <c r="C50" s="1" t="s">
        <v>76</v>
      </c>
      <c r="D50" s="1" t="s">
        <v>83</v>
      </c>
      <c r="E50" s="1" t="s">
        <v>195</v>
      </c>
      <c r="G50" s="1" t="s">
        <v>213</v>
      </c>
      <c r="H50" s="1">
        <f xml:space="preserve"> COUNTIF(Table1[Deck],G50)</f>
        <v>2</v>
      </c>
      <c r="I50" s="3">
        <f>H50/COUNTA(Table1[Deck])</f>
        <v>8.0321285140562242E-3</v>
      </c>
      <c r="J50" s="1" t="s">
        <v>212</v>
      </c>
      <c r="K50" s="1" t="s">
        <v>199</v>
      </c>
      <c r="L50" s="1">
        <v>9</v>
      </c>
    </row>
    <row r="51" spans="1:12" hidden="1" x14ac:dyDescent="0.25">
      <c r="A51" s="1">
        <v>50</v>
      </c>
      <c r="B51" s="1" t="s">
        <v>49</v>
      </c>
      <c r="C51" s="1" t="s">
        <v>76</v>
      </c>
      <c r="D51" s="1" t="s">
        <v>97</v>
      </c>
      <c r="E51" s="1" t="s">
        <v>195</v>
      </c>
      <c r="G51" s="1" t="s">
        <v>220</v>
      </c>
      <c r="H51" s="1">
        <f xml:space="preserve"> COUNTIF(Table1[Deck],G51)</f>
        <v>2</v>
      </c>
      <c r="I51" s="3">
        <f>H51/COUNTA(Table1[Deck])</f>
        <v>8.0321285140562242E-3</v>
      </c>
      <c r="J51" s="1" t="s">
        <v>219</v>
      </c>
      <c r="K51" s="1" t="s">
        <v>199</v>
      </c>
      <c r="L51" s="1">
        <v>14</v>
      </c>
    </row>
    <row r="52" spans="1:12" x14ac:dyDescent="0.25">
      <c r="A52" s="1">
        <v>51</v>
      </c>
      <c r="B52" s="1" t="s">
        <v>50</v>
      </c>
      <c r="C52" s="1" t="s">
        <v>66</v>
      </c>
      <c r="D52" s="1" t="s">
        <v>69</v>
      </c>
      <c r="E52" s="1" t="s">
        <v>195</v>
      </c>
      <c r="G52" s="1" t="s">
        <v>78</v>
      </c>
      <c r="H52" s="1">
        <f xml:space="preserve"> COUNTIF(Table1[Deck],G52)</f>
        <v>1</v>
      </c>
      <c r="I52" s="3">
        <f>H52/COUNTA(Table1[Deck])</f>
        <v>4.0160642570281121E-3</v>
      </c>
      <c r="J52" s="1" t="s">
        <v>9</v>
      </c>
      <c r="K52" s="1" t="s">
        <v>195</v>
      </c>
      <c r="L52" s="1">
        <v>10</v>
      </c>
    </row>
    <row r="53" spans="1:12" hidden="1" x14ac:dyDescent="0.25">
      <c r="A53" s="1">
        <v>52</v>
      </c>
      <c r="B53" s="1" t="s">
        <v>51</v>
      </c>
      <c r="C53" s="1" t="s">
        <v>66</v>
      </c>
      <c r="D53" s="1" t="s">
        <v>86</v>
      </c>
      <c r="E53" s="1" t="s">
        <v>195</v>
      </c>
      <c r="G53" s="1" t="s">
        <v>95</v>
      </c>
      <c r="H53" s="1">
        <f xml:space="preserve"> COUNTIF(Table1[Deck],G53)</f>
        <v>1</v>
      </c>
      <c r="I53" s="3">
        <f>H53/COUNTA(Table1[Deck])</f>
        <v>4.0160642570281121E-3</v>
      </c>
      <c r="J53" s="1" t="s">
        <v>46</v>
      </c>
      <c r="K53" s="1" t="s">
        <v>195</v>
      </c>
      <c r="L53" s="1">
        <v>47</v>
      </c>
    </row>
    <row r="54" spans="1:12" hidden="1" x14ac:dyDescent="0.25">
      <c r="A54" s="1">
        <v>53</v>
      </c>
      <c r="B54" s="1" t="s">
        <v>52</v>
      </c>
      <c r="C54" s="1" t="s">
        <v>76</v>
      </c>
      <c r="D54" s="1" t="s">
        <v>87</v>
      </c>
      <c r="E54" s="1" t="s">
        <v>195</v>
      </c>
      <c r="G54" s="1" t="s">
        <v>98</v>
      </c>
      <c r="H54" s="1">
        <f xml:space="preserve"> COUNTIF(Table1[Deck],G54)</f>
        <v>1</v>
      </c>
      <c r="I54" s="3">
        <f>H54/COUNTA(Table1[Deck])</f>
        <v>4.0160642570281121E-3</v>
      </c>
      <c r="J54" s="1" t="s">
        <v>57</v>
      </c>
      <c r="K54" s="1" t="s">
        <v>195</v>
      </c>
      <c r="L54" s="1">
        <v>58</v>
      </c>
    </row>
    <row r="55" spans="1:12" x14ac:dyDescent="0.25">
      <c r="A55" s="1">
        <v>54</v>
      </c>
      <c r="B55" s="1" t="s">
        <v>53</v>
      </c>
      <c r="C55" s="1" t="s">
        <v>76</v>
      </c>
      <c r="D55" s="1" t="s">
        <v>93</v>
      </c>
      <c r="E55" s="1" t="s">
        <v>195</v>
      </c>
      <c r="G55" s="1" t="s">
        <v>99</v>
      </c>
      <c r="H55" s="1">
        <f xml:space="preserve"> COUNTIF(Table1[Deck],G55)</f>
        <v>1</v>
      </c>
      <c r="I55" s="3">
        <f>H55/COUNTA(Table1[Deck])</f>
        <v>4.0160642570281121E-3</v>
      </c>
      <c r="J55" s="1" t="s">
        <v>59</v>
      </c>
      <c r="K55" s="1" t="s">
        <v>195</v>
      </c>
      <c r="L55" s="1">
        <v>60</v>
      </c>
    </row>
    <row r="56" spans="1:12" x14ac:dyDescent="0.25">
      <c r="A56" s="1">
        <v>55</v>
      </c>
      <c r="B56" s="1" t="s">
        <v>54</v>
      </c>
      <c r="C56" s="1" t="s">
        <v>76</v>
      </c>
      <c r="D56" s="1" t="s">
        <v>83</v>
      </c>
      <c r="E56" s="1" t="s">
        <v>195</v>
      </c>
      <c r="G56" s="1" t="s">
        <v>164</v>
      </c>
      <c r="H56" s="1">
        <f xml:space="preserve"> COUNTIF(Table1[Deck],G56)</f>
        <v>1</v>
      </c>
      <c r="I56" s="3">
        <f>H56/COUNTA(Table1[Deck])</f>
        <v>4.0160642570281121E-3</v>
      </c>
      <c r="J56" s="1" t="s">
        <v>111</v>
      </c>
      <c r="K56" s="1" t="s">
        <v>196</v>
      </c>
      <c r="L56" s="1">
        <v>15</v>
      </c>
    </row>
    <row r="57" spans="1:12" hidden="1" x14ac:dyDescent="0.25">
      <c r="A57" s="1">
        <v>56</v>
      </c>
      <c r="B57" s="1" t="s">
        <v>55</v>
      </c>
      <c r="C57" s="1" t="s">
        <v>66</v>
      </c>
      <c r="D57" s="1" t="s">
        <v>67</v>
      </c>
      <c r="E57" s="1" t="s">
        <v>195</v>
      </c>
      <c r="G57" s="1" t="s">
        <v>229</v>
      </c>
      <c r="H57" s="1">
        <f xml:space="preserve"> COUNTIF(Table1[Deck],G57)</f>
        <v>1</v>
      </c>
      <c r="I57" s="3">
        <f>H57/COUNTA(Table1[Deck])</f>
        <v>4.0160642570281121E-3</v>
      </c>
      <c r="J57" s="1" t="s">
        <v>228</v>
      </c>
      <c r="K57" s="1" t="s">
        <v>199</v>
      </c>
      <c r="L57" s="1">
        <v>23</v>
      </c>
    </row>
    <row r="58" spans="1:12" hidden="1" x14ac:dyDescent="0.25">
      <c r="A58" s="1">
        <v>57</v>
      </c>
      <c r="B58" s="1" t="s">
        <v>56</v>
      </c>
      <c r="C58" s="1" t="s">
        <v>76</v>
      </c>
      <c r="D58" s="1" t="s">
        <v>83</v>
      </c>
      <c r="E58" s="1" t="s">
        <v>195</v>
      </c>
      <c r="G58" s="1" t="s">
        <v>231</v>
      </c>
      <c r="H58" s="1">
        <f xml:space="preserve"> COUNTIF(Table1[Deck],G58)</f>
        <v>1</v>
      </c>
      <c r="I58" s="3">
        <f>H58/COUNTA(Table1[Deck])</f>
        <v>4.0160642570281121E-3</v>
      </c>
      <c r="J58" s="1" t="s">
        <v>230</v>
      </c>
      <c r="K58" s="1" t="s">
        <v>199</v>
      </c>
      <c r="L58" s="1">
        <v>24</v>
      </c>
    </row>
    <row r="59" spans="1:12" hidden="1" x14ac:dyDescent="0.25">
      <c r="A59" s="1">
        <v>58</v>
      </c>
      <c r="B59" s="1" t="s">
        <v>57</v>
      </c>
      <c r="C59" s="1" t="s">
        <v>76</v>
      </c>
      <c r="D59" s="1" t="s">
        <v>98</v>
      </c>
      <c r="E59" s="1" t="s">
        <v>195</v>
      </c>
      <c r="G59" s="1" t="s">
        <v>255</v>
      </c>
      <c r="H59" s="1">
        <f xml:space="preserve"> COUNTIF(Table1[Deck],G59)</f>
        <v>1</v>
      </c>
      <c r="I59" s="3">
        <f>H59/COUNTA(Table1[Deck])</f>
        <v>4.0160642570281121E-3</v>
      </c>
      <c r="J59" s="1" t="s">
        <v>254</v>
      </c>
      <c r="K59" s="1" t="s">
        <v>199</v>
      </c>
      <c r="L59" s="1">
        <v>43</v>
      </c>
    </row>
    <row r="60" spans="1:12" hidden="1" x14ac:dyDescent="0.25">
      <c r="A60" s="1">
        <v>59</v>
      </c>
      <c r="B60" s="1" t="s">
        <v>58</v>
      </c>
      <c r="C60" s="1" t="s">
        <v>76</v>
      </c>
      <c r="D60" s="1" t="s">
        <v>83</v>
      </c>
      <c r="E60" s="1" t="s">
        <v>195</v>
      </c>
      <c r="G60" s="1" t="s">
        <v>279</v>
      </c>
      <c r="H60" s="1">
        <f xml:space="preserve"> COUNTIF(Table1[Deck],G60)</f>
        <v>1</v>
      </c>
      <c r="I60" s="3">
        <f>H60/COUNTA(Table1[Deck])</f>
        <v>4.0160642570281121E-3</v>
      </c>
      <c r="J60" s="1" t="s">
        <v>5</v>
      </c>
      <c r="K60" s="1" t="s">
        <v>280</v>
      </c>
      <c r="L60" s="1">
        <v>8</v>
      </c>
    </row>
    <row r="61" spans="1:12" hidden="1" x14ac:dyDescent="0.25">
      <c r="A61" s="1">
        <v>60</v>
      </c>
      <c r="B61" s="1" t="s">
        <v>59</v>
      </c>
      <c r="C61" s="1" t="s">
        <v>70</v>
      </c>
      <c r="D61" s="1" t="s">
        <v>99</v>
      </c>
      <c r="E61" s="1" t="s">
        <v>195</v>
      </c>
      <c r="G61" s="1" t="s">
        <v>302</v>
      </c>
      <c r="H61" s="1">
        <f xml:space="preserve"> COUNTIF(Table1[Deck],G61)</f>
        <v>1</v>
      </c>
      <c r="I61" s="3">
        <f>H61/COUNTA(Table1[Deck])</f>
        <v>4.0160642570281121E-3</v>
      </c>
      <c r="J61" s="1" t="s">
        <v>301</v>
      </c>
      <c r="K61" s="1" t="s">
        <v>306</v>
      </c>
      <c r="L61" s="1">
        <v>5</v>
      </c>
    </row>
    <row r="62" spans="1:12" hidden="1" x14ac:dyDescent="0.25">
      <c r="A62" s="1">
        <v>61</v>
      </c>
      <c r="B62" s="1" t="s">
        <v>60</v>
      </c>
      <c r="C62" s="1" t="s">
        <v>76</v>
      </c>
      <c r="D62" s="1" t="s">
        <v>100</v>
      </c>
      <c r="E62" s="1" t="s">
        <v>195</v>
      </c>
      <c r="G62" s="1" t="s">
        <v>329</v>
      </c>
      <c r="H62" s="1">
        <f xml:space="preserve"> COUNTIF(Table1[Deck],G62)</f>
        <v>1</v>
      </c>
      <c r="I62" s="3">
        <f>H62/COUNTA(Table1[Deck])</f>
        <v>4.0160642570281121E-3</v>
      </c>
      <c r="J62" s="3" t="s">
        <v>216</v>
      </c>
      <c r="K62" s="3" t="s">
        <v>199</v>
      </c>
      <c r="L62" s="5">
        <v>11</v>
      </c>
    </row>
    <row r="63" spans="1:12" hidden="1" x14ac:dyDescent="0.25">
      <c r="A63" s="1">
        <v>62</v>
      </c>
      <c r="B63" s="1" t="s">
        <v>61</v>
      </c>
      <c r="C63" s="1" t="s">
        <v>76</v>
      </c>
      <c r="D63" s="1" t="s">
        <v>93</v>
      </c>
      <c r="E63" s="1" t="s">
        <v>195</v>
      </c>
      <c r="G63" s="1" t="s">
        <v>328</v>
      </c>
      <c r="H63" s="1">
        <f xml:space="preserve"> COUNTIF(Table1[Deck],G63)</f>
        <v>1</v>
      </c>
      <c r="I63" s="3">
        <f>H63/COUNTA(Table1[Deck])</f>
        <v>4.0160642570281121E-3</v>
      </c>
      <c r="J63" s="3" t="s">
        <v>330</v>
      </c>
      <c r="K63" s="3" t="s">
        <v>196</v>
      </c>
      <c r="L63" s="5">
        <v>53</v>
      </c>
    </row>
    <row r="64" spans="1:12" x14ac:dyDescent="0.25">
      <c r="A64" s="1">
        <v>63</v>
      </c>
      <c r="B64" s="1" t="s">
        <v>62</v>
      </c>
      <c r="C64" s="1" t="s">
        <v>70</v>
      </c>
      <c r="D64" s="1" t="s">
        <v>67</v>
      </c>
      <c r="E64" s="1" t="s">
        <v>195</v>
      </c>
    </row>
    <row r="65" spans="1:5" x14ac:dyDescent="0.25">
      <c r="A65" s="1">
        <v>64</v>
      </c>
      <c r="B65" s="1" t="s">
        <v>63</v>
      </c>
      <c r="C65" s="1" t="s">
        <v>76</v>
      </c>
      <c r="D65" s="1" t="s">
        <v>77</v>
      </c>
      <c r="E65" s="1" t="s">
        <v>195</v>
      </c>
    </row>
    <row r="66" spans="1:5" x14ac:dyDescent="0.25">
      <c r="A66" s="1">
        <v>1</v>
      </c>
      <c r="B66" s="1" t="s">
        <v>32</v>
      </c>
      <c r="C66" s="1" t="s">
        <v>64</v>
      </c>
      <c r="D66" s="1" t="s">
        <v>81</v>
      </c>
      <c r="E66" s="1" t="s">
        <v>196</v>
      </c>
    </row>
    <row r="67" spans="1:5" x14ac:dyDescent="0.25">
      <c r="A67" s="1">
        <v>2</v>
      </c>
      <c r="B67" s="1" t="s">
        <v>101</v>
      </c>
      <c r="C67" s="1" t="s">
        <v>64</v>
      </c>
      <c r="D67" s="1" t="s">
        <v>74</v>
      </c>
      <c r="E67" s="1" t="s">
        <v>196</v>
      </c>
    </row>
    <row r="68" spans="1:5" x14ac:dyDescent="0.25">
      <c r="A68" s="1">
        <v>3</v>
      </c>
      <c r="B68" s="1" t="s">
        <v>102</v>
      </c>
      <c r="C68" s="1" t="s">
        <v>64</v>
      </c>
      <c r="D68" s="1" t="s">
        <v>69</v>
      </c>
      <c r="E68" s="1" t="s">
        <v>196</v>
      </c>
    </row>
    <row r="69" spans="1:5" x14ac:dyDescent="0.25">
      <c r="A69" s="1">
        <v>4</v>
      </c>
      <c r="B69" s="1" t="s">
        <v>103</v>
      </c>
      <c r="C69" s="1" t="s">
        <v>64</v>
      </c>
      <c r="D69" s="1" t="s">
        <v>69</v>
      </c>
      <c r="E69" s="1" t="s">
        <v>196</v>
      </c>
    </row>
    <row r="70" spans="1:5" x14ac:dyDescent="0.25">
      <c r="A70" s="1">
        <v>5</v>
      </c>
      <c r="B70" s="1" t="s">
        <v>104</v>
      </c>
      <c r="C70" s="1" t="s">
        <v>64</v>
      </c>
      <c r="D70" s="1" t="s">
        <v>96</v>
      </c>
      <c r="E70" s="1" t="s">
        <v>196</v>
      </c>
    </row>
    <row r="71" spans="1:5" x14ac:dyDescent="0.25">
      <c r="A71" s="1">
        <v>6</v>
      </c>
      <c r="B71" s="1" t="s">
        <v>105</v>
      </c>
      <c r="C71" s="1" t="s">
        <v>64</v>
      </c>
      <c r="D71" s="1" t="s">
        <v>100</v>
      </c>
      <c r="E71" s="1" t="s">
        <v>196</v>
      </c>
    </row>
    <row r="72" spans="1:5" x14ac:dyDescent="0.25">
      <c r="A72" s="1">
        <v>7</v>
      </c>
      <c r="B72" s="1" t="s">
        <v>106</v>
      </c>
      <c r="C72" s="1" t="s">
        <v>64</v>
      </c>
      <c r="D72" s="1" t="s">
        <v>163</v>
      </c>
      <c r="E72" s="1" t="s">
        <v>196</v>
      </c>
    </row>
    <row r="73" spans="1:5" x14ac:dyDescent="0.25">
      <c r="A73" s="1">
        <v>8</v>
      </c>
      <c r="B73" s="1" t="s">
        <v>107</v>
      </c>
      <c r="C73" s="1" t="s">
        <v>64</v>
      </c>
      <c r="D73" s="1" t="s">
        <v>74</v>
      </c>
      <c r="E73" s="1" t="s">
        <v>196</v>
      </c>
    </row>
    <row r="74" spans="1:5" x14ac:dyDescent="0.25">
      <c r="A74" s="1">
        <v>9</v>
      </c>
      <c r="B74" s="1" t="s">
        <v>4</v>
      </c>
      <c r="C74" s="1" t="s">
        <v>64</v>
      </c>
      <c r="D74" s="1" t="s">
        <v>74</v>
      </c>
      <c r="E74" s="1" t="s">
        <v>196</v>
      </c>
    </row>
    <row r="75" spans="1:5" x14ac:dyDescent="0.25">
      <c r="A75" s="1">
        <v>10</v>
      </c>
      <c r="B75" s="1" t="s">
        <v>10</v>
      </c>
      <c r="C75" s="1" t="s">
        <v>64</v>
      </c>
      <c r="D75" s="1" t="s">
        <v>74</v>
      </c>
      <c r="E75" s="1" t="s">
        <v>196</v>
      </c>
    </row>
    <row r="76" spans="1:5" x14ac:dyDescent="0.25">
      <c r="A76" s="1">
        <v>11</v>
      </c>
      <c r="B76" s="1" t="s">
        <v>6</v>
      </c>
      <c r="C76" s="1" t="s">
        <v>73</v>
      </c>
      <c r="D76" s="1" t="s">
        <v>74</v>
      </c>
      <c r="E76" s="1" t="s">
        <v>196</v>
      </c>
    </row>
    <row r="77" spans="1:5" x14ac:dyDescent="0.25">
      <c r="A77" s="1">
        <v>12</v>
      </c>
      <c r="B77" s="1" t="s">
        <v>108</v>
      </c>
      <c r="C77" s="1" t="s">
        <v>64</v>
      </c>
      <c r="D77" s="1" t="s">
        <v>74</v>
      </c>
      <c r="E77" s="1" t="s">
        <v>196</v>
      </c>
    </row>
    <row r="78" spans="1:5" x14ac:dyDescent="0.25">
      <c r="A78" s="1">
        <v>13</v>
      </c>
      <c r="B78" s="1" t="s">
        <v>109</v>
      </c>
      <c r="C78" s="1" t="s">
        <v>64</v>
      </c>
      <c r="D78" s="1" t="s">
        <v>83</v>
      </c>
      <c r="E78" s="1" t="s">
        <v>196</v>
      </c>
    </row>
    <row r="79" spans="1:5" x14ac:dyDescent="0.25">
      <c r="A79" s="1">
        <v>14</v>
      </c>
      <c r="B79" s="1" t="s">
        <v>110</v>
      </c>
      <c r="C79" s="1" t="s">
        <v>64</v>
      </c>
      <c r="D79" s="1" t="s">
        <v>96</v>
      </c>
      <c r="E79" s="1" t="s">
        <v>196</v>
      </c>
    </row>
    <row r="80" spans="1:5" x14ac:dyDescent="0.25">
      <c r="A80" s="1">
        <v>15</v>
      </c>
      <c r="B80" s="1" t="s">
        <v>111</v>
      </c>
      <c r="C80" s="1" t="s">
        <v>73</v>
      </c>
      <c r="D80" s="1" t="s">
        <v>164</v>
      </c>
      <c r="E80" s="1" t="s">
        <v>196</v>
      </c>
    </row>
    <row r="81" spans="1:5" x14ac:dyDescent="0.25">
      <c r="A81" s="1">
        <v>16</v>
      </c>
      <c r="B81" s="1" t="s">
        <v>112</v>
      </c>
      <c r="C81" s="1" t="s">
        <v>73</v>
      </c>
      <c r="D81" s="1" t="s">
        <v>67</v>
      </c>
      <c r="E81" s="1" t="s">
        <v>196</v>
      </c>
    </row>
    <row r="82" spans="1:5" x14ac:dyDescent="0.25">
      <c r="A82" s="1">
        <v>17</v>
      </c>
      <c r="B82" s="1" t="s">
        <v>113</v>
      </c>
      <c r="C82" s="1" t="s">
        <v>64</v>
      </c>
      <c r="D82" s="1" t="s">
        <v>69</v>
      </c>
      <c r="E82" s="1" t="s">
        <v>196</v>
      </c>
    </row>
    <row r="83" spans="1:5" x14ac:dyDescent="0.25">
      <c r="A83" s="1">
        <v>18</v>
      </c>
      <c r="B83" s="1" t="s">
        <v>114</v>
      </c>
      <c r="C83" s="1" t="s">
        <v>64</v>
      </c>
      <c r="D83" s="1" t="s">
        <v>74</v>
      </c>
      <c r="E83" s="1" t="s">
        <v>196</v>
      </c>
    </row>
    <row r="84" spans="1:5" x14ac:dyDescent="0.25">
      <c r="A84" s="1">
        <v>19</v>
      </c>
      <c r="B84" s="1" t="s">
        <v>115</v>
      </c>
      <c r="C84" s="1" t="s">
        <v>64</v>
      </c>
      <c r="D84" s="1" t="s">
        <v>89</v>
      </c>
      <c r="E84" s="1" t="s">
        <v>196</v>
      </c>
    </row>
    <row r="85" spans="1:5" x14ac:dyDescent="0.25">
      <c r="A85" s="1">
        <v>20</v>
      </c>
      <c r="B85" s="1" t="s">
        <v>116</v>
      </c>
      <c r="C85" s="1" t="s">
        <v>64</v>
      </c>
      <c r="D85" s="1" t="s">
        <v>100</v>
      </c>
      <c r="E85" s="1" t="s">
        <v>196</v>
      </c>
    </row>
    <row r="86" spans="1:5" x14ac:dyDescent="0.25">
      <c r="A86" s="1">
        <v>21</v>
      </c>
      <c r="B86" s="1" t="s">
        <v>117</v>
      </c>
      <c r="C86" s="1" t="s">
        <v>64</v>
      </c>
      <c r="D86" s="1" t="s">
        <v>74</v>
      </c>
      <c r="E86" s="1" t="s">
        <v>196</v>
      </c>
    </row>
    <row r="87" spans="1:5" x14ac:dyDescent="0.25">
      <c r="A87" s="1">
        <v>22</v>
      </c>
      <c r="B87" s="1" t="s">
        <v>118</v>
      </c>
      <c r="C87" s="1" t="s">
        <v>64</v>
      </c>
      <c r="D87" s="1" t="s">
        <v>165</v>
      </c>
      <c r="E87" s="1" t="s">
        <v>196</v>
      </c>
    </row>
    <row r="88" spans="1:5" x14ac:dyDescent="0.25">
      <c r="A88" s="1">
        <v>23</v>
      </c>
      <c r="B88" s="1" t="s">
        <v>119</v>
      </c>
      <c r="C88" s="1" t="s">
        <v>64</v>
      </c>
      <c r="D88" s="1" t="s">
        <v>81</v>
      </c>
      <c r="E88" s="1" t="s">
        <v>196</v>
      </c>
    </row>
    <row r="89" spans="1:5" x14ac:dyDescent="0.25">
      <c r="A89" s="1">
        <v>24</v>
      </c>
      <c r="B89" s="1" t="s">
        <v>120</v>
      </c>
      <c r="C89" s="1" t="s">
        <v>64</v>
      </c>
      <c r="D89" s="1" t="s">
        <v>74</v>
      </c>
      <c r="E89" s="1" t="s">
        <v>196</v>
      </c>
    </row>
    <row r="90" spans="1:5" x14ac:dyDescent="0.25">
      <c r="A90" s="1">
        <v>25</v>
      </c>
      <c r="B90" s="1" t="s">
        <v>121</v>
      </c>
      <c r="C90" s="1" t="s">
        <v>64</v>
      </c>
      <c r="D90" s="1" t="s">
        <v>74</v>
      </c>
      <c r="E90" s="1" t="s">
        <v>196</v>
      </c>
    </row>
    <row r="91" spans="1:5" x14ac:dyDescent="0.25">
      <c r="A91" s="1">
        <v>26</v>
      </c>
      <c r="B91" s="1" t="s">
        <v>122</v>
      </c>
      <c r="C91" s="1" t="s">
        <v>64</v>
      </c>
      <c r="D91" s="1" t="s">
        <v>74</v>
      </c>
      <c r="E91" s="1" t="s">
        <v>196</v>
      </c>
    </row>
    <row r="92" spans="1:5" x14ac:dyDescent="0.25">
      <c r="A92" s="1">
        <v>27</v>
      </c>
      <c r="B92" s="1" t="s">
        <v>123</v>
      </c>
      <c r="C92" s="1" t="s">
        <v>64</v>
      </c>
      <c r="D92" s="1" t="s">
        <v>72</v>
      </c>
      <c r="E92" s="1" t="s">
        <v>196</v>
      </c>
    </row>
    <row r="93" spans="1:5" x14ac:dyDescent="0.25">
      <c r="A93" s="1">
        <v>28</v>
      </c>
      <c r="B93" s="1" t="s">
        <v>124</v>
      </c>
      <c r="C93" s="1" t="s">
        <v>64</v>
      </c>
      <c r="D93" s="1" t="s">
        <v>93</v>
      </c>
      <c r="E93" s="1" t="s">
        <v>196</v>
      </c>
    </row>
    <row r="94" spans="1:5" x14ac:dyDescent="0.25">
      <c r="A94" s="1">
        <v>29</v>
      </c>
      <c r="B94" s="1" t="s">
        <v>125</v>
      </c>
      <c r="C94" s="1" t="s">
        <v>64</v>
      </c>
      <c r="D94" s="1" t="s">
        <v>83</v>
      </c>
      <c r="E94" s="1" t="s">
        <v>196</v>
      </c>
    </row>
    <row r="95" spans="1:5" x14ac:dyDescent="0.25">
      <c r="A95" s="1">
        <v>30</v>
      </c>
      <c r="B95" s="1" t="s">
        <v>126</v>
      </c>
      <c r="C95" s="1" t="s">
        <v>64</v>
      </c>
      <c r="D95" s="1" t="s">
        <v>74</v>
      </c>
      <c r="E95" s="1" t="s">
        <v>196</v>
      </c>
    </row>
    <row r="96" spans="1:5" x14ac:dyDescent="0.25">
      <c r="A96" s="1">
        <v>31</v>
      </c>
      <c r="B96" s="1" t="s">
        <v>127</v>
      </c>
      <c r="C96" s="1" t="s">
        <v>64</v>
      </c>
      <c r="D96" s="1" t="s">
        <v>74</v>
      </c>
      <c r="E96" s="1" t="s">
        <v>196</v>
      </c>
    </row>
    <row r="97" spans="1:5" x14ac:dyDescent="0.25">
      <c r="A97" s="1">
        <v>32</v>
      </c>
      <c r="B97" s="1" t="s">
        <v>128</v>
      </c>
      <c r="C97" s="1" t="s">
        <v>64</v>
      </c>
      <c r="D97" s="1" t="s">
        <v>77</v>
      </c>
      <c r="E97" s="1" t="s">
        <v>196</v>
      </c>
    </row>
    <row r="98" spans="1:5" x14ac:dyDescent="0.25">
      <c r="A98" s="1">
        <v>33</v>
      </c>
      <c r="B98" s="1" t="s">
        <v>129</v>
      </c>
      <c r="C98" s="1" t="s">
        <v>64</v>
      </c>
      <c r="D98" s="1" t="s">
        <v>72</v>
      </c>
      <c r="E98" s="1" t="s">
        <v>196</v>
      </c>
    </row>
    <row r="99" spans="1:5" x14ac:dyDescent="0.25">
      <c r="A99" s="1">
        <v>34</v>
      </c>
      <c r="B99" s="1" t="s">
        <v>130</v>
      </c>
      <c r="C99" s="1" t="s">
        <v>64</v>
      </c>
      <c r="D99" s="1" t="s">
        <v>166</v>
      </c>
      <c r="E99" s="1" t="s">
        <v>196</v>
      </c>
    </row>
    <row r="100" spans="1:5" x14ac:dyDescent="0.25">
      <c r="A100" s="1">
        <v>35</v>
      </c>
      <c r="B100" s="1" t="s">
        <v>131</v>
      </c>
      <c r="C100" s="1" t="s">
        <v>64</v>
      </c>
      <c r="D100" s="1" t="s">
        <v>74</v>
      </c>
      <c r="E100" s="1" t="s">
        <v>196</v>
      </c>
    </row>
    <row r="101" spans="1:5" x14ac:dyDescent="0.25">
      <c r="A101" s="1">
        <v>36</v>
      </c>
      <c r="B101" s="1" t="s">
        <v>132</v>
      </c>
      <c r="C101" s="1" t="s">
        <v>64</v>
      </c>
      <c r="D101" s="1" t="s">
        <v>67</v>
      </c>
      <c r="E101" s="1" t="s">
        <v>196</v>
      </c>
    </row>
    <row r="102" spans="1:5" x14ac:dyDescent="0.25">
      <c r="A102" s="1">
        <v>37</v>
      </c>
      <c r="B102" s="1" t="s">
        <v>16</v>
      </c>
      <c r="C102" s="1" t="s">
        <v>64</v>
      </c>
      <c r="D102" s="1" t="s">
        <v>69</v>
      </c>
      <c r="E102" s="1" t="s">
        <v>196</v>
      </c>
    </row>
    <row r="103" spans="1:5" x14ac:dyDescent="0.25">
      <c r="A103" s="1">
        <v>38</v>
      </c>
      <c r="B103" s="1" t="s">
        <v>133</v>
      </c>
      <c r="C103" s="1" t="s">
        <v>64</v>
      </c>
      <c r="D103" s="1" t="s">
        <v>89</v>
      </c>
      <c r="E103" s="1" t="s">
        <v>196</v>
      </c>
    </row>
    <row r="104" spans="1:5" x14ac:dyDescent="0.25">
      <c r="A104" s="1">
        <v>39</v>
      </c>
      <c r="B104" s="1" t="s">
        <v>134</v>
      </c>
      <c r="C104" s="1" t="s">
        <v>64</v>
      </c>
      <c r="D104" s="1" t="s">
        <v>67</v>
      </c>
      <c r="E104" s="1" t="s">
        <v>196</v>
      </c>
    </row>
    <row r="105" spans="1:5" x14ac:dyDescent="0.25">
      <c r="A105" s="1">
        <v>40</v>
      </c>
      <c r="B105" s="1" t="s">
        <v>26</v>
      </c>
      <c r="C105" s="1" t="s">
        <v>64</v>
      </c>
      <c r="D105" s="1" t="s">
        <v>81</v>
      </c>
      <c r="E105" s="1" t="s">
        <v>196</v>
      </c>
    </row>
    <row r="106" spans="1:5" x14ac:dyDescent="0.25">
      <c r="A106" s="1">
        <v>41</v>
      </c>
      <c r="B106" s="1" t="s">
        <v>135</v>
      </c>
      <c r="C106" s="1" t="s">
        <v>64</v>
      </c>
      <c r="D106" s="1" t="s">
        <v>69</v>
      </c>
      <c r="E106" s="1" t="s">
        <v>196</v>
      </c>
    </row>
    <row r="107" spans="1:5" x14ac:dyDescent="0.25">
      <c r="A107" s="1">
        <v>42</v>
      </c>
      <c r="B107" s="1" t="s">
        <v>136</v>
      </c>
      <c r="C107" s="1" t="s">
        <v>64</v>
      </c>
      <c r="D107" s="1" t="s">
        <v>67</v>
      </c>
      <c r="E107" s="1" t="s">
        <v>196</v>
      </c>
    </row>
    <row r="108" spans="1:5" x14ac:dyDescent="0.25">
      <c r="A108" s="1">
        <v>43</v>
      </c>
      <c r="B108" s="1" t="s">
        <v>137</v>
      </c>
      <c r="C108" s="1" t="s">
        <v>64</v>
      </c>
      <c r="D108" s="1" t="s">
        <v>81</v>
      </c>
      <c r="E108" s="1" t="s">
        <v>196</v>
      </c>
    </row>
    <row r="109" spans="1:5" x14ac:dyDescent="0.25">
      <c r="A109" s="1">
        <v>44</v>
      </c>
      <c r="B109" s="1" t="s">
        <v>138</v>
      </c>
      <c r="C109" s="1" t="s">
        <v>64</v>
      </c>
      <c r="D109" s="1" t="s">
        <v>79</v>
      </c>
      <c r="E109" s="1" t="s">
        <v>196</v>
      </c>
    </row>
    <row r="110" spans="1:5" x14ac:dyDescent="0.25">
      <c r="A110" s="1">
        <v>45</v>
      </c>
      <c r="B110" s="1" t="s">
        <v>139</v>
      </c>
      <c r="C110" s="1" t="s">
        <v>64</v>
      </c>
      <c r="D110" s="1" t="s">
        <v>74</v>
      </c>
      <c r="E110" s="1" t="s">
        <v>196</v>
      </c>
    </row>
    <row r="111" spans="1:5" x14ac:dyDescent="0.25">
      <c r="A111" s="1">
        <v>46</v>
      </c>
      <c r="B111" s="1" t="s">
        <v>140</v>
      </c>
      <c r="C111" s="1" t="s">
        <v>64</v>
      </c>
      <c r="D111" s="1" t="s">
        <v>74</v>
      </c>
      <c r="E111" s="1" t="s">
        <v>196</v>
      </c>
    </row>
    <row r="112" spans="1:5" x14ac:dyDescent="0.25">
      <c r="A112" s="1">
        <v>47</v>
      </c>
      <c r="B112" s="1" t="s">
        <v>141</v>
      </c>
      <c r="C112" s="1" t="s">
        <v>64</v>
      </c>
      <c r="D112" s="1" t="s">
        <v>74</v>
      </c>
      <c r="E112" s="1" t="s">
        <v>196</v>
      </c>
    </row>
    <row r="113" spans="1:5" x14ac:dyDescent="0.25">
      <c r="A113" s="1">
        <v>48</v>
      </c>
      <c r="B113" s="1" t="s">
        <v>142</v>
      </c>
      <c r="C113" s="1" t="s">
        <v>64</v>
      </c>
      <c r="D113" s="1" t="s">
        <v>77</v>
      </c>
      <c r="E113" s="1" t="s">
        <v>196</v>
      </c>
    </row>
    <row r="114" spans="1:5" x14ac:dyDescent="0.25">
      <c r="A114" s="1">
        <v>49</v>
      </c>
      <c r="B114" s="1" t="s">
        <v>143</v>
      </c>
      <c r="C114" s="1" t="s">
        <v>64</v>
      </c>
      <c r="D114" s="1" t="s">
        <v>81</v>
      </c>
      <c r="E114" s="1" t="s">
        <v>196</v>
      </c>
    </row>
    <row r="115" spans="1:5" x14ac:dyDescent="0.25">
      <c r="A115" s="1">
        <v>50</v>
      </c>
      <c r="B115" s="1" t="s">
        <v>144</v>
      </c>
      <c r="C115" s="1" t="s">
        <v>64</v>
      </c>
      <c r="D115" s="1" t="s">
        <v>74</v>
      </c>
      <c r="E115" s="1" t="s">
        <v>196</v>
      </c>
    </row>
    <row r="116" spans="1:5" x14ac:dyDescent="0.25">
      <c r="A116" s="1">
        <v>51</v>
      </c>
      <c r="B116" s="1" t="s">
        <v>145</v>
      </c>
      <c r="C116" s="1" t="s">
        <v>64</v>
      </c>
      <c r="D116" s="1" t="s">
        <v>69</v>
      </c>
      <c r="E116" s="1" t="s">
        <v>196</v>
      </c>
    </row>
    <row r="117" spans="1:5" x14ac:dyDescent="0.25">
      <c r="A117" s="1">
        <v>52</v>
      </c>
      <c r="B117" s="1" t="s">
        <v>146</v>
      </c>
      <c r="C117" s="1" t="s">
        <v>64</v>
      </c>
      <c r="D117" s="1" t="s">
        <v>89</v>
      </c>
      <c r="E117" s="1" t="s">
        <v>196</v>
      </c>
    </row>
    <row r="118" spans="1:5" x14ac:dyDescent="0.25">
      <c r="A118" s="1">
        <v>53</v>
      </c>
      <c r="B118" s="1" t="s">
        <v>147</v>
      </c>
      <c r="C118" s="1" t="s">
        <v>64</v>
      </c>
      <c r="D118" s="1" t="s">
        <v>328</v>
      </c>
      <c r="E118" s="1" t="s">
        <v>196</v>
      </c>
    </row>
    <row r="119" spans="1:5" x14ac:dyDescent="0.25">
      <c r="A119" s="1">
        <v>54</v>
      </c>
      <c r="B119" s="1" t="s">
        <v>148</v>
      </c>
      <c r="C119" s="1" t="s">
        <v>64</v>
      </c>
      <c r="D119" s="1" t="s">
        <v>166</v>
      </c>
      <c r="E119" s="1" t="s">
        <v>196</v>
      </c>
    </row>
    <row r="120" spans="1:5" x14ac:dyDescent="0.25">
      <c r="A120" s="1">
        <v>55</v>
      </c>
      <c r="B120" s="1" t="s">
        <v>149</v>
      </c>
      <c r="C120" s="1" t="s">
        <v>64</v>
      </c>
      <c r="D120" s="1" t="s">
        <v>96</v>
      </c>
      <c r="E120" s="1" t="s">
        <v>196</v>
      </c>
    </row>
    <row r="121" spans="1:5" x14ac:dyDescent="0.25">
      <c r="A121" s="1">
        <v>56</v>
      </c>
      <c r="B121" s="1" t="s">
        <v>150</v>
      </c>
      <c r="C121" s="1" t="s">
        <v>64</v>
      </c>
      <c r="D121" s="1" t="s">
        <v>163</v>
      </c>
      <c r="E121" s="1" t="s">
        <v>196</v>
      </c>
    </row>
    <row r="122" spans="1:5" x14ac:dyDescent="0.25">
      <c r="A122" s="1">
        <v>57</v>
      </c>
      <c r="B122" s="1" t="s">
        <v>151</v>
      </c>
      <c r="C122" s="1" t="s">
        <v>64</v>
      </c>
      <c r="D122" s="1" t="s">
        <v>166</v>
      </c>
      <c r="E122" s="1" t="s">
        <v>196</v>
      </c>
    </row>
    <row r="123" spans="1:5" x14ac:dyDescent="0.25">
      <c r="A123" s="1">
        <v>58</v>
      </c>
      <c r="B123" s="1" t="s">
        <v>152</v>
      </c>
      <c r="C123" s="1" t="s">
        <v>64</v>
      </c>
      <c r="D123" s="1" t="s">
        <v>100</v>
      </c>
      <c r="E123" s="1" t="s">
        <v>196</v>
      </c>
    </row>
    <row r="124" spans="1:5" x14ac:dyDescent="0.25">
      <c r="A124" s="1">
        <v>59</v>
      </c>
      <c r="B124" s="1" t="s">
        <v>153</v>
      </c>
      <c r="C124" s="1" t="s">
        <v>64</v>
      </c>
      <c r="D124" s="1" t="s">
        <v>71</v>
      </c>
      <c r="E124" s="1" t="s">
        <v>196</v>
      </c>
    </row>
    <row r="125" spans="1:5" x14ac:dyDescent="0.25">
      <c r="A125" s="1">
        <v>60</v>
      </c>
      <c r="B125" s="1" t="s">
        <v>154</v>
      </c>
      <c r="C125" s="1" t="s">
        <v>64</v>
      </c>
      <c r="D125" s="1" t="s">
        <v>167</v>
      </c>
      <c r="E125" s="1" t="s">
        <v>196</v>
      </c>
    </row>
    <row r="126" spans="1:5" x14ac:dyDescent="0.25">
      <c r="A126" s="1">
        <v>61</v>
      </c>
      <c r="B126" s="1" t="s">
        <v>155</v>
      </c>
      <c r="C126" s="1" t="s">
        <v>64</v>
      </c>
      <c r="D126" s="1" t="s">
        <v>74</v>
      </c>
      <c r="E126" s="1" t="s">
        <v>196</v>
      </c>
    </row>
    <row r="127" spans="1:5" x14ac:dyDescent="0.25">
      <c r="A127" s="1">
        <v>62</v>
      </c>
      <c r="B127" s="1" t="s">
        <v>156</v>
      </c>
      <c r="C127" s="1" t="s">
        <v>64</v>
      </c>
      <c r="D127" s="1" t="s">
        <v>72</v>
      </c>
      <c r="E127" s="1" t="s">
        <v>196</v>
      </c>
    </row>
    <row r="128" spans="1:5" x14ac:dyDescent="0.25">
      <c r="A128" s="1">
        <v>63</v>
      </c>
      <c r="B128" s="1" t="s">
        <v>157</v>
      </c>
      <c r="C128" s="1" t="s">
        <v>64</v>
      </c>
      <c r="D128" s="1" t="s">
        <v>72</v>
      </c>
      <c r="E128" s="1" t="s">
        <v>196</v>
      </c>
    </row>
    <row r="129" spans="1:5" x14ac:dyDescent="0.25">
      <c r="A129" s="1">
        <v>64</v>
      </c>
      <c r="B129" s="1" t="s">
        <v>158</v>
      </c>
      <c r="C129" s="1" t="s">
        <v>64</v>
      </c>
      <c r="D129" s="1" t="s">
        <v>91</v>
      </c>
      <c r="E129" s="1" t="s">
        <v>196</v>
      </c>
    </row>
    <row r="130" spans="1:5" x14ac:dyDescent="0.25">
      <c r="A130" s="1">
        <v>65</v>
      </c>
      <c r="B130" s="1" t="s">
        <v>159</v>
      </c>
      <c r="C130" s="1" t="s">
        <v>64</v>
      </c>
      <c r="D130" s="1" t="s">
        <v>166</v>
      </c>
      <c r="E130" s="1" t="s">
        <v>196</v>
      </c>
    </row>
    <row r="131" spans="1:5" x14ac:dyDescent="0.25">
      <c r="A131" s="1">
        <v>66</v>
      </c>
      <c r="B131" s="1" t="s">
        <v>160</v>
      </c>
      <c r="C131" s="1" t="s">
        <v>64</v>
      </c>
      <c r="D131" s="1" t="s">
        <v>72</v>
      </c>
      <c r="E131" s="1" t="s">
        <v>196</v>
      </c>
    </row>
    <row r="132" spans="1:5" x14ac:dyDescent="0.25">
      <c r="A132" s="1">
        <v>67</v>
      </c>
      <c r="B132" s="1" t="s">
        <v>161</v>
      </c>
      <c r="C132" s="1" t="s">
        <v>64</v>
      </c>
      <c r="D132" s="1" t="s">
        <v>168</v>
      </c>
      <c r="E132" s="1" t="s">
        <v>196</v>
      </c>
    </row>
    <row r="133" spans="1:5" x14ac:dyDescent="0.25">
      <c r="A133" s="1">
        <v>68</v>
      </c>
      <c r="B133" s="1" t="s">
        <v>162</v>
      </c>
      <c r="C133" s="1" t="s">
        <v>64</v>
      </c>
      <c r="D133" s="1" t="s">
        <v>81</v>
      </c>
      <c r="E133" s="1" t="s">
        <v>196</v>
      </c>
    </row>
    <row r="134" spans="1:5" x14ac:dyDescent="0.25">
      <c r="A134" s="1">
        <v>1</v>
      </c>
      <c r="B134" s="1" t="s">
        <v>169</v>
      </c>
      <c r="C134" s="1" t="s">
        <v>170</v>
      </c>
      <c r="D134" s="1" t="s">
        <v>69</v>
      </c>
      <c r="E134" s="1" t="s">
        <v>197</v>
      </c>
    </row>
    <row r="135" spans="1:5" x14ac:dyDescent="0.25">
      <c r="A135" s="1">
        <v>2</v>
      </c>
      <c r="B135" s="1" t="s">
        <v>171</v>
      </c>
      <c r="C135" s="1" t="s">
        <v>170</v>
      </c>
      <c r="D135" s="1" t="s">
        <v>69</v>
      </c>
      <c r="E135" s="1" t="s">
        <v>197</v>
      </c>
    </row>
    <row r="136" spans="1:5" x14ac:dyDescent="0.25">
      <c r="A136" s="1">
        <v>3</v>
      </c>
      <c r="B136" s="1" t="s">
        <v>172</v>
      </c>
      <c r="C136" s="1" t="s">
        <v>170</v>
      </c>
      <c r="D136" s="1" t="s">
        <v>67</v>
      </c>
      <c r="E136" s="1" t="s">
        <v>197</v>
      </c>
    </row>
    <row r="137" spans="1:5" x14ac:dyDescent="0.25">
      <c r="A137" s="1">
        <v>4</v>
      </c>
      <c r="B137" s="1" t="s">
        <v>2</v>
      </c>
      <c r="C137" s="1" t="s">
        <v>68</v>
      </c>
      <c r="D137" s="1" t="s">
        <v>69</v>
      </c>
      <c r="E137" s="1" t="s">
        <v>197</v>
      </c>
    </row>
    <row r="138" spans="1:5" x14ac:dyDescent="0.25">
      <c r="A138" s="1">
        <v>5</v>
      </c>
      <c r="B138" s="1" t="s">
        <v>173</v>
      </c>
      <c r="C138" s="1" t="s">
        <v>170</v>
      </c>
      <c r="D138" s="1" t="s">
        <v>67</v>
      </c>
      <c r="E138" s="1" t="s">
        <v>197</v>
      </c>
    </row>
    <row r="139" spans="1:5" x14ac:dyDescent="0.25">
      <c r="A139" s="1">
        <v>6</v>
      </c>
      <c r="B139" s="1" t="s">
        <v>174</v>
      </c>
      <c r="C139" s="1" t="s">
        <v>170</v>
      </c>
      <c r="D139" s="1" t="s">
        <v>83</v>
      </c>
      <c r="E139" s="1" t="s">
        <v>197</v>
      </c>
    </row>
    <row r="140" spans="1:5" x14ac:dyDescent="0.25">
      <c r="A140" s="1">
        <v>7</v>
      </c>
      <c r="B140" s="1" t="s">
        <v>175</v>
      </c>
      <c r="C140" s="1" t="s">
        <v>170</v>
      </c>
      <c r="D140" s="1" t="s">
        <v>96</v>
      </c>
      <c r="E140" s="1" t="s">
        <v>197</v>
      </c>
    </row>
    <row r="141" spans="1:5" x14ac:dyDescent="0.25">
      <c r="A141" s="1">
        <v>8</v>
      </c>
      <c r="B141" s="1" t="s">
        <v>176</v>
      </c>
      <c r="C141" s="1" t="s">
        <v>170</v>
      </c>
      <c r="D141" s="1" t="s">
        <v>96</v>
      </c>
      <c r="E141" s="1" t="s">
        <v>197</v>
      </c>
    </row>
    <row r="142" spans="1:5" x14ac:dyDescent="0.25">
      <c r="A142" s="1">
        <v>1</v>
      </c>
      <c r="B142" s="1" t="s">
        <v>177</v>
      </c>
      <c r="C142" s="1" t="s">
        <v>66</v>
      </c>
      <c r="D142" s="1" t="s">
        <v>74</v>
      </c>
      <c r="E142" s="1" t="s">
        <v>198</v>
      </c>
    </row>
    <row r="143" spans="1:5" x14ac:dyDescent="0.25">
      <c r="A143" s="1">
        <v>2</v>
      </c>
      <c r="B143" s="1" t="s">
        <v>178</v>
      </c>
      <c r="C143" s="1" t="s">
        <v>66</v>
      </c>
      <c r="D143" s="1" t="s">
        <v>74</v>
      </c>
      <c r="E143" s="1" t="s">
        <v>198</v>
      </c>
    </row>
    <row r="144" spans="1:5" x14ac:dyDescent="0.25">
      <c r="A144" s="1">
        <v>3</v>
      </c>
      <c r="B144" s="1" t="s">
        <v>179</v>
      </c>
      <c r="C144" s="1" t="s">
        <v>66</v>
      </c>
      <c r="D144" s="1" t="s">
        <v>74</v>
      </c>
      <c r="E144" s="1" t="s">
        <v>198</v>
      </c>
    </row>
    <row r="145" spans="1:5" x14ac:dyDescent="0.25">
      <c r="A145" s="1">
        <v>4</v>
      </c>
      <c r="B145" s="1" t="s">
        <v>180</v>
      </c>
      <c r="C145" s="1" t="s">
        <v>66</v>
      </c>
      <c r="D145" s="1" t="s">
        <v>83</v>
      </c>
      <c r="E145" s="1" t="s">
        <v>198</v>
      </c>
    </row>
    <row r="146" spans="1:5" x14ac:dyDescent="0.25">
      <c r="A146" s="1">
        <v>5</v>
      </c>
      <c r="B146" s="1" t="s">
        <v>181</v>
      </c>
      <c r="C146" s="1" t="s">
        <v>76</v>
      </c>
      <c r="D146" s="1" t="s">
        <v>74</v>
      </c>
      <c r="E146" s="1" t="s">
        <v>198</v>
      </c>
    </row>
    <row r="147" spans="1:5" x14ac:dyDescent="0.25">
      <c r="A147" s="1">
        <v>6</v>
      </c>
      <c r="B147" s="1" t="s">
        <v>182</v>
      </c>
      <c r="C147" s="1" t="s">
        <v>66</v>
      </c>
      <c r="D147" s="1" t="s">
        <v>96</v>
      </c>
      <c r="E147" s="1" t="s">
        <v>198</v>
      </c>
    </row>
    <row r="148" spans="1:5" x14ac:dyDescent="0.25">
      <c r="A148" s="1">
        <v>7</v>
      </c>
      <c r="B148" s="1" t="s">
        <v>17</v>
      </c>
      <c r="C148" s="1" t="s">
        <v>76</v>
      </c>
      <c r="D148" s="1" t="s">
        <v>167</v>
      </c>
      <c r="E148" s="1" t="s">
        <v>198</v>
      </c>
    </row>
    <row r="149" spans="1:5" x14ac:dyDescent="0.25">
      <c r="A149" s="1">
        <v>8</v>
      </c>
      <c r="B149" s="1" t="s">
        <v>183</v>
      </c>
      <c r="C149" s="1" t="s">
        <v>70</v>
      </c>
      <c r="D149" s="1" t="s">
        <v>96</v>
      </c>
      <c r="E149" s="1" t="s">
        <v>198</v>
      </c>
    </row>
    <row r="150" spans="1:5" x14ac:dyDescent="0.25">
      <c r="A150" s="1">
        <v>9</v>
      </c>
      <c r="B150" s="1" t="s">
        <v>184</v>
      </c>
      <c r="C150" s="1" t="s">
        <v>66</v>
      </c>
      <c r="D150" s="1" t="s">
        <v>72</v>
      </c>
      <c r="E150" s="1" t="s">
        <v>198</v>
      </c>
    </row>
    <row r="151" spans="1:5" x14ac:dyDescent="0.25">
      <c r="A151" s="1">
        <v>10</v>
      </c>
      <c r="B151" s="1" t="s">
        <v>185</v>
      </c>
      <c r="C151" s="1" t="s">
        <v>70</v>
      </c>
      <c r="D151" s="1" t="s">
        <v>83</v>
      </c>
      <c r="E151" s="1" t="s">
        <v>198</v>
      </c>
    </row>
    <row r="152" spans="1:5" x14ac:dyDescent="0.25">
      <c r="A152" s="1">
        <v>11</v>
      </c>
      <c r="B152" s="1" t="s">
        <v>186</v>
      </c>
      <c r="C152" s="1" t="s">
        <v>66</v>
      </c>
      <c r="D152" s="1" t="s">
        <v>74</v>
      </c>
      <c r="E152" s="1" t="s">
        <v>198</v>
      </c>
    </row>
    <row r="153" spans="1:5" x14ac:dyDescent="0.25">
      <c r="A153" s="1">
        <v>12</v>
      </c>
      <c r="B153" s="1" t="s">
        <v>187</v>
      </c>
      <c r="C153" s="1" t="s">
        <v>66</v>
      </c>
      <c r="D153" s="1" t="s">
        <v>69</v>
      </c>
      <c r="E153" s="1" t="s">
        <v>198</v>
      </c>
    </row>
    <row r="154" spans="1:5" x14ac:dyDescent="0.25">
      <c r="A154" s="1">
        <v>13</v>
      </c>
      <c r="B154" s="1" t="s">
        <v>1</v>
      </c>
      <c r="C154" s="1" t="s">
        <v>66</v>
      </c>
      <c r="D154" s="1" t="s">
        <v>67</v>
      </c>
      <c r="E154" s="1" t="s">
        <v>198</v>
      </c>
    </row>
    <row r="155" spans="1:5" x14ac:dyDescent="0.25">
      <c r="A155" s="1">
        <v>14</v>
      </c>
      <c r="B155" s="1" t="s">
        <v>47</v>
      </c>
      <c r="C155" s="1" t="s">
        <v>66</v>
      </c>
      <c r="D155" s="1" t="s">
        <v>96</v>
      </c>
      <c r="E155" s="1" t="s">
        <v>198</v>
      </c>
    </row>
    <row r="156" spans="1:5" x14ac:dyDescent="0.25">
      <c r="A156" s="1">
        <v>15</v>
      </c>
      <c r="B156" s="1" t="s">
        <v>188</v>
      </c>
      <c r="C156" s="1" t="s">
        <v>76</v>
      </c>
      <c r="D156" s="1" t="s">
        <v>100</v>
      </c>
      <c r="E156" s="1" t="s">
        <v>198</v>
      </c>
    </row>
    <row r="157" spans="1:5" x14ac:dyDescent="0.25">
      <c r="A157" s="1">
        <v>16</v>
      </c>
      <c r="B157" s="1" t="s">
        <v>189</v>
      </c>
      <c r="C157" s="1" t="s">
        <v>66</v>
      </c>
      <c r="D157" s="1" t="s">
        <v>168</v>
      </c>
      <c r="E157" s="1" t="s">
        <v>198</v>
      </c>
    </row>
    <row r="158" spans="1:5" x14ac:dyDescent="0.25">
      <c r="A158" s="1">
        <v>1</v>
      </c>
      <c r="B158" s="1" t="s">
        <v>200</v>
      </c>
      <c r="C158" s="1" t="s">
        <v>80</v>
      </c>
      <c r="D158" s="1" t="s">
        <v>201</v>
      </c>
      <c r="E158" s="1" t="s">
        <v>199</v>
      </c>
    </row>
    <row r="159" spans="1:5" x14ac:dyDescent="0.25">
      <c r="A159" s="1">
        <v>2</v>
      </c>
      <c r="B159" s="1" t="s">
        <v>202</v>
      </c>
      <c r="C159" s="1" t="s">
        <v>203</v>
      </c>
      <c r="D159" s="1" t="s">
        <v>74</v>
      </c>
      <c r="E159" s="1" t="s">
        <v>199</v>
      </c>
    </row>
    <row r="160" spans="1:5" x14ac:dyDescent="0.25">
      <c r="A160" s="1">
        <v>3</v>
      </c>
      <c r="B160" s="1" t="s">
        <v>204</v>
      </c>
      <c r="C160" s="1" t="s">
        <v>205</v>
      </c>
      <c r="D160" s="1" t="s">
        <v>87</v>
      </c>
      <c r="E160" s="1" t="s">
        <v>199</v>
      </c>
    </row>
    <row r="161" spans="1:5" x14ac:dyDescent="0.25">
      <c r="A161" s="1">
        <v>4</v>
      </c>
      <c r="B161" s="1" t="s">
        <v>206</v>
      </c>
      <c r="C161" s="1" t="s">
        <v>205</v>
      </c>
      <c r="D161" s="1" t="s">
        <v>93</v>
      </c>
      <c r="E161" s="1" t="s">
        <v>199</v>
      </c>
    </row>
    <row r="162" spans="1:5" x14ac:dyDescent="0.25">
      <c r="A162" s="1">
        <v>5</v>
      </c>
      <c r="B162" s="1" t="s">
        <v>207</v>
      </c>
      <c r="C162" s="1" t="s">
        <v>203</v>
      </c>
      <c r="D162" s="1" t="s">
        <v>74</v>
      </c>
      <c r="E162" s="1" t="s">
        <v>199</v>
      </c>
    </row>
    <row r="163" spans="1:5" x14ac:dyDescent="0.25">
      <c r="A163" s="1">
        <v>6</v>
      </c>
      <c r="B163" s="1" t="s">
        <v>208</v>
      </c>
      <c r="C163" s="1" t="s">
        <v>85</v>
      </c>
      <c r="D163" s="1" t="s">
        <v>84</v>
      </c>
      <c r="E163" s="1" t="s">
        <v>199</v>
      </c>
    </row>
    <row r="164" spans="1:5" x14ac:dyDescent="0.25">
      <c r="A164" s="1">
        <v>7</v>
      </c>
      <c r="B164" s="1" t="s">
        <v>209</v>
      </c>
      <c r="C164" s="1" t="s">
        <v>210</v>
      </c>
      <c r="D164" s="1" t="s">
        <v>67</v>
      </c>
      <c r="E164" s="1" t="s">
        <v>199</v>
      </c>
    </row>
    <row r="165" spans="1:5" x14ac:dyDescent="0.25">
      <c r="A165" s="1">
        <v>8</v>
      </c>
      <c r="B165" s="1" t="s">
        <v>211</v>
      </c>
      <c r="C165" s="1" t="s">
        <v>205</v>
      </c>
      <c r="D165" s="1" t="s">
        <v>163</v>
      </c>
      <c r="E165" s="1" t="s">
        <v>199</v>
      </c>
    </row>
    <row r="166" spans="1:5" x14ac:dyDescent="0.25">
      <c r="A166" s="1">
        <v>9</v>
      </c>
      <c r="B166" s="1" t="s">
        <v>212</v>
      </c>
      <c r="C166" s="1" t="s">
        <v>205</v>
      </c>
      <c r="D166" s="1" t="s">
        <v>213</v>
      </c>
      <c r="E166" s="1" t="s">
        <v>199</v>
      </c>
    </row>
    <row r="167" spans="1:5" x14ac:dyDescent="0.25">
      <c r="A167" s="1">
        <v>10</v>
      </c>
      <c r="B167" s="1" t="s">
        <v>214</v>
      </c>
      <c r="C167" s="1" t="s">
        <v>215</v>
      </c>
      <c r="D167" s="1" t="s">
        <v>69</v>
      </c>
      <c r="E167" s="1" t="s">
        <v>199</v>
      </c>
    </row>
    <row r="168" spans="1:5" x14ac:dyDescent="0.25">
      <c r="A168" s="1">
        <v>11</v>
      </c>
      <c r="B168" s="1" t="s">
        <v>216</v>
      </c>
      <c r="C168" s="1" t="s">
        <v>75</v>
      </c>
      <c r="D168" s="1" t="s">
        <v>329</v>
      </c>
      <c r="E168" s="1" t="s">
        <v>199</v>
      </c>
    </row>
    <row r="169" spans="1:5" x14ac:dyDescent="0.25">
      <c r="A169" s="1">
        <v>12</v>
      </c>
      <c r="B169" s="1" t="s">
        <v>217</v>
      </c>
      <c r="C169" s="1" t="s">
        <v>205</v>
      </c>
      <c r="D169" s="1" t="s">
        <v>163</v>
      </c>
      <c r="E169" s="1" t="s">
        <v>199</v>
      </c>
    </row>
    <row r="170" spans="1:5" x14ac:dyDescent="0.25">
      <c r="A170" s="1">
        <v>13</v>
      </c>
      <c r="B170" s="1" t="s">
        <v>218</v>
      </c>
      <c r="C170" s="1" t="s">
        <v>205</v>
      </c>
      <c r="D170" s="1" t="s">
        <v>74</v>
      </c>
      <c r="E170" s="1" t="s">
        <v>199</v>
      </c>
    </row>
    <row r="171" spans="1:5" x14ac:dyDescent="0.25">
      <c r="A171" s="1">
        <v>14</v>
      </c>
      <c r="B171" s="1" t="s">
        <v>219</v>
      </c>
      <c r="C171" s="1" t="s">
        <v>75</v>
      </c>
      <c r="D171" s="1" t="s">
        <v>220</v>
      </c>
      <c r="E171" s="1" t="s">
        <v>199</v>
      </c>
    </row>
    <row r="172" spans="1:5" x14ac:dyDescent="0.25">
      <c r="A172" s="1">
        <v>15</v>
      </c>
      <c r="B172" s="1" t="s">
        <v>221</v>
      </c>
      <c r="C172" s="1" t="s">
        <v>92</v>
      </c>
      <c r="D172" s="1" t="s">
        <v>166</v>
      </c>
      <c r="E172" s="1" t="s">
        <v>199</v>
      </c>
    </row>
    <row r="173" spans="1:5" x14ac:dyDescent="0.25">
      <c r="A173" s="1">
        <v>16</v>
      </c>
      <c r="B173" s="1" t="s">
        <v>222</v>
      </c>
      <c r="C173" s="1" t="s">
        <v>85</v>
      </c>
      <c r="D173" s="1" t="s">
        <v>84</v>
      </c>
      <c r="E173" s="1" t="s">
        <v>199</v>
      </c>
    </row>
    <row r="174" spans="1:5" x14ac:dyDescent="0.25">
      <c r="A174" s="1">
        <v>17</v>
      </c>
      <c r="B174" s="1" t="s">
        <v>223</v>
      </c>
      <c r="C174" s="1" t="s">
        <v>224</v>
      </c>
      <c r="D174" s="1" t="s">
        <v>96</v>
      </c>
      <c r="E174" s="1" t="s">
        <v>199</v>
      </c>
    </row>
    <row r="175" spans="1:5" x14ac:dyDescent="0.25">
      <c r="A175" s="1">
        <v>18</v>
      </c>
      <c r="B175" s="1" t="s">
        <v>22</v>
      </c>
      <c r="C175" s="1" t="s">
        <v>76</v>
      </c>
      <c r="D175" s="1" t="s">
        <v>167</v>
      </c>
      <c r="E175" s="1" t="s">
        <v>199</v>
      </c>
    </row>
    <row r="176" spans="1:5" x14ac:dyDescent="0.25">
      <c r="A176" s="1">
        <v>19</v>
      </c>
      <c r="B176" s="1" t="s">
        <v>225</v>
      </c>
      <c r="C176" s="1" t="s">
        <v>80</v>
      </c>
      <c r="D176" s="1" t="s">
        <v>91</v>
      </c>
      <c r="E176" s="1" t="s">
        <v>199</v>
      </c>
    </row>
    <row r="177" spans="1:5" x14ac:dyDescent="0.25">
      <c r="A177" s="1">
        <v>20</v>
      </c>
      <c r="B177" s="1" t="s">
        <v>17</v>
      </c>
      <c r="C177" s="1" t="s">
        <v>76</v>
      </c>
      <c r="D177" s="1" t="s">
        <v>167</v>
      </c>
      <c r="E177" s="1" t="s">
        <v>199</v>
      </c>
    </row>
    <row r="178" spans="1:5" x14ac:dyDescent="0.25">
      <c r="A178" s="1">
        <v>21</v>
      </c>
      <c r="B178" s="1" t="s">
        <v>226</v>
      </c>
      <c r="C178" s="1" t="s">
        <v>205</v>
      </c>
      <c r="D178" s="1" t="s">
        <v>213</v>
      </c>
      <c r="E178" s="1" t="s">
        <v>199</v>
      </c>
    </row>
    <row r="179" spans="1:5" x14ac:dyDescent="0.25">
      <c r="A179" s="1">
        <v>22</v>
      </c>
      <c r="B179" s="1" t="s">
        <v>227</v>
      </c>
      <c r="C179" s="1" t="s">
        <v>224</v>
      </c>
      <c r="D179" s="1" t="s">
        <v>96</v>
      </c>
      <c r="E179" s="1" t="s">
        <v>199</v>
      </c>
    </row>
    <row r="180" spans="1:5" x14ac:dyDescent="0.25">
      <c r="A180" s="1">
        <v>23</v>
      </c>
      <c r="B180" s="1" t="s">
        <v>228</v>
      </c>
      <c r="C180" s="1" t="s">
        <v>205</v>
      </c>
      <c r="D180" s="1" t="s">
        <v>229</v>
      </c>
      <c r="E180" s="1" t="s">
        <v>199</v>
      </c>
    </row>
    <row r="181" spans="1:5" x14ac:dyDescent="0.25">
      <c r="A181" s="1">
        <v>24</v>
      </c>
      <c r="B181" s="1" t="s">
        <v>230</v>
      </c>
      <c r="C181" s="1" t="s">
        <v>205</v>
      </c>
      <c r="D181" s="1" t="s">
        <v>231</v>
      </c>
      <c r="E181" s="1" t="s">
        <v>199</v>
      </c>
    </row>
    <row r="182" spans="1:5" x14ac:dyDescent="0.25">
      <c r="A182" s="1">
        <v>25</v>
      </c>
      <c r="B182" s="1" t="s">
        <v>232</v>
      </c>
      <c r="C182" s="1" t="s">
        <v>94</v>
      </c>
      <c r="D182" s="1" t="s">
        <v>72</v>
      </c>
      <c r="E182" s="1" t="s">
        <v>199</v>
      </c>
    </row>
    <row r="183" spans="1:5" x14ac:dyDescent="0.25">
      <c r="A183" s="1">
        <v>26</v>
      </c>
      <c r="B183" s="1" t="s">
        <v>233</v>
      </c>
      <c r="C183" s="1" t="s">
        <v>234</v>
      </c>
      <c r="D183" s="1" t="s">
        <v>74</v>
      </c>
      <c r="E183" s="1" t="s">
        <v>199</v>
      </c>
    </row>
    <row r="184" spans="1:5" x14ac:dyDescent="0.25">
      <c r="A184" s="1">
        <v>27</v>
      </c>
      <c r="B184" s="1" t="s">
        <v>235</v>
      </c>
      <c r="C184" s="1" t="s">
        <v>80</v>
      </c>
      <c r="D184" s="1" t="s">
        <v>96</v>
      </c>
      <c r="E184" s="1" t="s">
        <v>199</v>
      </c>
    </row>
    <row r="185" spans="1:5" x14ac:dyDescent="0.25">
      <c r="A185" s="1">
        <v>28</v>
      </c>
      <c r="B185" s="1" t="s">
        <v>236</v>
      </c>
      <c r="C185" s="1" t="s">
        <v>224</v>
      </c>
      <c r="D185" s="1" t="s">
        <v>74</v>
      </c>
      <c r="E185" s="1" t="s">
        <v>199</v>
      </c>
    </row>
    <row r="186" spans="1:5" x14ac:dyDescent="0.25">
      <c r="A186" s="1">
        <v>29</v>
      </c>
      <c r="B186" s="1" t="s">
        <v>237</v>
      </c>
      <c r="C186" s="1" t="s">
        <v>238</v>
      </c>
      <c r="D186" s="1" t="s">
        <v>100</v>
      </c>
      <c r="E186" s="1" t="s">
        <v>199</v>
      </c>
    </row>
    <row r="187" spans="1:5" x14ac:dyDescent="0.25">
      <c r="A187" s="1">
        <v>30</v>
      </c>
      <c r="B187" s="1" t="s">
        <v>239</v>
      </c>
      <c r="C187" s="1" t="s">
        <v>205</v>
      </c>
      <c r="D187" s="1" t="s">
        <v>83</v>
      </c>
      <c r="E187" s="1" t="s">
        <v>199</v>
      </c>
    </row>
    <row r="188" spans="1:5" x14ac:dyDescent="0.25">
      <c r="A188" s="1">
        <v>31</v>
      </c>
      <c r="B188" s="1" t="s">
        <v>240</v>
      </c>
      <c r="C188" s="1" t="s">
        <v>224</v>
      </c>
      <c r="D188" s="1" t="s">
        <v>83</v>
      </c>
      <c r="E188" s="1" t="s">
        <v>199</v>
      </c>
    </row>
    <row r="189" spans="1:5" x14ac:dyDescent="0.25">
      <c r="A189" s="1">
        <v>32</v>
      </c>
      <c r="B189" s="1" t="s">
        <v>241</v>
      </c>
      <c r="C189" s="1" t="s">
        <v>92</v>
      </c>
      <c r="D189" s="1" t="s">
        <v>72</v>
      </c>
      <c r="E189" s="1" t="s">
        <v>199</v>
      </c>
    </row>
    <row r="190" spans="1:5" x14ac:dyDescent="0.25">
      <c r="A190" s="1">
        <v>33</v>
      </c>
      <c r="B190" s="1" t="s">
        <v>242</v>
      </c>
      <c r="C190" s="1" t="s">
        <v>80</v>
      </c>
      <c r="D190" s="1" t="s">
        <v>69</v>
      </c>
      <c r="E190" s="1" t="s">
        <v>199</v>
      </c>
    </row>
    <row r="191" spans="1:5" x14ac:dyDescent="0.25">
      <c r="A191" s="1">
        <v>34</v>
      </c>
      <c r="B191" s="1" t="s">
        <v>243</v>
      </c>
      <c r="C191" s="1" t="s">
        <v>205</v>
      </c>
      <c r="D191" s="1" t="s">
        <v>97</v>
      </c>
      <c r="E191" s="1" t="s">
        <v>199</v>
      </c>
    </row>
    <row r="192" spans="1:5" x14ac:dyDescent="0.25">
      <c r="A192" s="1">
        <v>35</v>
      </c>
      <c r="B192" s="1" t="s">
        <v>244</v>
      </c>
      <c r="C192" s="1" t="s">
        <v>245</v>
      </c>
      <c r="D192" s="1" t="s">
        <v>72</v>
      </c>
      <c r="E192" s="1" t="s">
        <v>199</v>
      </c>
    </row>
    <row r="193" spans="1:5" x14ac:dyDescent="0.25">
      <c r="A193" s="1">
        <v>36</v>
      </c>
      <c r="B193" s="1" t="s">
        <v>246</v>
      </c>
      <c r="C193" s="1" t="s">
        <v>205</v>
      </c>
      <c r="D193" s="1" t="s">
        <v>74</v>
      </c>
      <c r="E193" s="1" t="s">
        <v>199</v>
      </c>
    </row>
    <row r="194" spans="1:5" x14ac:dyDescent="0.25">
      <c r="A194" s="1">
        <v>37</v>
      </c>
      <c r="B194" s="1" t="s">
        <v>247</v>
      </c>
      <c r="C194" s="1" t="s">
        <v>75</v>
      </c>
      <c r="D194" s="1" t="s">
        <v>220</v>
      </c>
      <c r="E194" s="1" t="s">
        <v>199</v>
      </c>
    </row>
    <row r="195" spans="1:5" x14ac:dyDescent="0.25">
      <c r="A195" s="1">
        <v>38</v>
      </c>
      <c r="B195" s="1" t="s">
        <v>248</v>
      </c>
      <c r="C195" s="1" t="s">
        <v>205</v>
      </c>
      <c r="D195" s="1" t="s">
        <v>67</v>
      </c>
      <c r="E195" s="1" t="s">
        <v>199</v>
      </c>
    </row>
    <row r="196" spans="1:5" x14ac:dyDescent="0.25">
      <c r="A196" s="1">
        <v>39</v>
      </c>
      <c r="B196" s="1" t="s">
        <v>249</v>
      </c>
      <c r="C196" s="1" t="s">
        <v>250</v>
      </c>
      <c r="D196" s="1" t="s">
        <v>74</v>
      </c>
      <c r="E196" s="1" t="s">
        <v>199</v>
      </c>
    </row>
    <row r="197" spans="1:5" x14ac:dyDescent="0.25">
      <c r="A197" s="1">
        <v>40</v>
      </c>
      <c r="B197" s="1" t="s">
        <v>251</v>
      </c>
      <c r="C197" s="1" t="s">
        <v>205</v>
      </c>
      <c r="D197" s="1" t="s">
        <v>100</v>
      </c>
      <c r="E197" s="1" t="s">
        <v>199</v>
      </c>
    </row>
    <row r="198" spans="1:5" x14ac:dyDescent="0.25">
      <c r="A198" s="1">
        <v>41</v>
      </c>
      <c r="B198" s="1" t="s">
        <v>252</v>
      </c>
      <c r="C198" s="1" t="s">
        <v>205</v>
      </c>
      <c r="D198" s="1" t="s">
        <v>72</v>
      </c>
      <c r="E198" s="1" t="s">
        <v>199</v>
      </c>
    </row>
    <row r="199" spans="1:5" x14ac:dyDescent="0.25">
      <c r="A199" s="1">
        <v>42</v>
      </c>
      <c r="B199" s="1" t="s">
        <v>253</v>
      </c>
      <c r="C199" s="1" t="s">
        <v>75</v>
      </c>
      <c r="D199" s="1" t="s">
        <v>96</v>
      </c>
      <c r="E199" s="1" t="s">
        <v>199</v>
      </c>
    </row>
    <row r="200" spans="1:5" x14ac:dyDescent="0.25">
      <c r="A200" s="1">
        <v>43</v>
      </c>
      <c r="B200" s="1" t="s">
        <v>254</v>
      </c>
      <c r="C200" s="1" t="s">
        <v>75</v>
      </c>
      <c r="D200" s="1" t="s">
        <v>255</v>
      </c>
      <c r="E200" s="1" t="s">
        <v>199</v>
      </c>
    </row>
    <row r="201" spans="1:5" x14ac:dyDescent="0.25">
      <c r="A201" s="1">
        <v>44</v>
      </c>
      <c r="B201" s="1" t="s">
        <v>256</v>
      </c>
      <c r="C201" s="1" t="s">
        <v>85</v>
      </c>
      <c r="D201" s="1" t="s">
        <v>91</v>
      </c>
      <c r="E201" s="1" t="s">
        <v>199</v>
      </c>
    </row>
    <row r="202" spans="1:5" x14ac:dyDescent="0.25">
      <c r="A202" s="1">
        <v>45</v>
      </c>
      <c r="B202" s="1" t="s">
        <v>257</v>
      </c>
      <c r="C202" s="1" t="s">
        <v>205</v>
      </c>
      <c r="D202" s="1" t="s">
        <v>96</v>
      </c>
      <c r="E202" s="1" t="s">
        <v>199</v>
      </c>
    </row>
    <row r="203" spans="1:5" x14ac:dyDescent="0.25">
      <c r="A203" s="1">
        <v>46</v>
      </c>
      <c r="B203" s="1" t="s">
        <v>258</v>
      </c>
      <c r="C203" s="1" t="s">
        <v>205</v>
      </c>
      <c r="D203" s="1" t="s">
        <v>91</v>
      </c>
      <c r="E203" s="1" t="s">
        <v>199</v>
      </c>
    </row>
    <row r="204" spans="1:5" x14ac:dyDescent="0.25">
      <c r="A204" s="1">
        <v>1</v>
      </c>
      <c r="B204" s="1" t="s">
        <v>259</v>
      </c>
      <c r="C204" s="1" t="s">
        <v>260</v>
      </c>
      <c r="D204" s="1" t="s">
        <v>261</v>
      </c>
      <c r="E204" s="1" t="s">
        <v>268</v>
      </c>
    </row>
    <row r="205" spans="1:5" x14ac:dyDescent="0.25">
      <c r="A205" s="1">
        <v>2</v>
      </c>
      <c r="B205" s="1" t="s">
        <v>31</v>
      </c>
      <c r="C205" s="1" t="s">
        <v>90</v>
      </c>
      <c r="D205" s="1" t="s">
        <v>74</v>
      </c>
      <c r="E205" s="1" t="s">
        <v>268</v>
      </c>
    </row>
    <row r="206" spans="1:5" x14ac:dyDescent="0.25">
      <c r="A206" s="1">
        <v>3</v>
      </c>
      <c r="B206" s="1" t="s">
        <v>262</v>
      </c>
      <c r="C206" s="1" t="s">
        <v>205</v>
      </c>
      <c r="D206" s="1" t="s">
        <v>97</v>
      </c>
      <c r="E206" s="1" t="s">
        <v>268</v>
      </c>
    </row>
    <row r="207" spans="1:5" x14ac:dyDescent="0.25">
      <c r="A207" s="1">
        <v>4</v>
      </c>
      <c r="B207" s="1" t="s">
        <v>263</v>
      </c>
      <c r="C207" s="1" t="s">
        <v>260</v>
      </c>
      <c r="D207" s="1" t="s">
        <v>261</v>
      </c>
      <c r="E207" s="1" t="s">
        <v>268</v>
      </c>
    </row>
    <row r="208" spans="1:5" x14ac:dyDescent="0.25">
      <c r="A208" s="1">
        <v>5</v>
      </c>
      <c r="B208" s="1" t="s">
        <v>264</v>
      </c>
      <c r="C208" s="1" t="s">
        <v>260</v>
      </c>
      <c r="D208" s="1" t="s">
        <v>81</v>
      </c>
      <c r="E208" s="1" t="s">
        <v>268</v>
      </c>
    </row>
    <row r="209" spans="1:5" x14ac:dyDescent="0.25">
      <c r="A209" s="1">
        <v>6</v>
      </c>
      <c r="B209" s="1" t="s">
        <v>265</v>
      </c>
      <c r="C209" s="1" t="s">
        <v>260</v>
      </c>
      <c r="D209" s="1" t="s">
        <v>74</v>
      </c>
      <c r="E209" s="1" t="s">
        <v>268</v>
      </c>
    </row>
    <row r="210" spans="1:5" x14ac:dyDescent="0.25">
      <c r="A210" s="1">
        <v>7</v>
      </c>
      <c r="B210" s="1" t="s">
        <v>266</v>
      </c>
      <c r="C210" s="1" t="s">
        <v>260</v>
      </c>
      <c r="D210" s="1" t="s">
        <v>67</v>
      </c>
      <c r="E210" s="1" t="s">
        <v>268</v>
      </c>
    </row>
    <row r="211" spans="1:5" x14ac:dyDescent="0.25">
      <c r="A211" s="1">
        <v>8</v>
      </c>
      <c r="B211" s="1" t="s">
        <v>267</v>
      </c>
      <c r="C211" s="1" t="s">
        <v>260</v>
      </c>
      <c r="D211" s="1" t="s">
        <v>74</v>
      </c>
      <c r="E211" s="1" t="s">
        <v>268</v>
      </c>
    </row>
    <row r="212" spans="1:5" x14ac:dyDescent="0.25">
      <c r="A212" s="1">
        <v>1</v>
      </c>
      <c r="B212" s="1" t="s">
        <v>183</v>
      </c>
      <c r="C212" s="1" t="s">
        <v>70</v>
      </c>
      <c r="D212" s="1" t="s">
        <v>84</v>
      </c>
      <c r="E212" s="1" t="s">
        <v>273</v>
      </c>
    </row>
    <row r="213" spans="1:5" x14ac:dyDescent="0.25">
      <c r="A213" s="1">
        <v>2</v>
      </c>
      <c r="B213" s="1" t="s">
        <v>269</v>
      </c>
      <c r="C213" s="1" t="s">
        <v>66</v>
      </c>
      <c r="D213" s="1" t="s">
        <v>74</v>
      </c>
      <c r="E213" s="1" t="s">
        <v>273</v>
      </c>
    </row>
    <row r="214" spans="1:5" x14ac:dyDescent="0.25">
      <c r="A214" s="1">
        <v>3</v>
      </c>
      <c r="B214" s="1" t="s">
        <v>270</v>
      </c>
      <c r="C214" s="1" t="s">
        <v>70</v>
      </c>
      <c r="D214" s="1" t="s">
        <v>84</v>
      </c>
      <c r="E214" s="1" t="s">
        <v>273</v>
      </c>
    </row>
    <row r="215" spans="1:5" x14ac:dyDescent="0.25">
      <c r="A215" s="1">
        <v>4</v>
      </c>
      <c r="B215" s="1" t="s">
        <v>37</v>
      </c>
      <c r="C215" s="1" t="s">
        <v>70</v>
      </c>
      <c r="D215" s="1" t="s">
        <v>71</v>
      </c>
      <c r="E215" s="1" t="s">
        <v>273</v>
      </c>
    </row>
    <row r="216" spans="1:5" x14ac:dyDescent="0.25">
      <c r="A216" s="1">
        <v>5</v>
      </c>
      <c r="B216" s="1" t="s">
        <v>15</v>
      </c>
      <c r="C216" s="1" t="s">
        <v>66</v>
      </c>
      <c r="D216" s="1" t="s">
        <v>83</v>
      </c>
      <c r="E216" s="1" t="s">
        <v>273</v>
      </c>
    </row>
    <row r="217" spans="1:5" x14ac:dyDescent="0.25">
      <c r="A217" s="1">
        <v>6</v>
      </c>
      <c r="B217" s="1" t="s">
        <v>271</v>
      </c>
      <c r="C217" s="1" t="s">
        <v>70</v>
      </c>
      <c r="D217" s="1" t="s">
        <v>71</v>
      </c>
      <c r="E217" s="1" t="s">
        <v>273</v>
      </c>
    </row>
    <row r="218" spans="1:5" x14ac:dyDescent="0.25">
      <c r="A218" s="1">
        <v>7</v>
      </c>
      <c r="B218" s="1" t="s">
        <v>272</v>
      </c>
      <c r="C218" s="1" t="s">
        <v>70</v>
      </c>
      <c r="D218" s="1" t="s">
        <v>100</v>
      </c>
      <c r="E218" s="1" t="s">
        <v>273</v>
      </c>
    </row>
    <row r="219" spans="1:5" x14ac:dyDescent="0.25">
      <c r="A219" s="1">
        <v>8</v>
      </c>
      <c r="B219" s="1" t="s">
        <v>62</v>
      </c>
      <c r="C219" s="1" t="s">
        <v>70</v>
      </c>
      <c r="D219" s="1" t="s">
        <v>261</v>
      </c>
      <c r="E219" s="1" t="s">
        <v>273</v>
      </c>
    </row>
    <row r="220" spans="1:5" x14ac:dyDescent="0.25">
      <c r="A220" s="1">
        <v>1</v>
      </c>
      <c r="B220" s="1" t="s">
        <v>6</v>
      </c>
      <c r="C220" s="1" t="s">
        <v>73</v>
      </c>
      <c r="D220" s="1" t="s">
        <v>74</v>
      </c>
      <c r="E220" s="1" t="s">
        <v>280</v>
      </c>
    </row>
    <row r="221" spans="1:5" x14ac:dyDescent="0.25">
      <c r="A221" s="1">
        <v>2</v>
      </c>
      <c r="B221" s="1" t="s">
        <v>274</v>
      </c>
      <c r="C221" s="1" t="s">
        <v>82</v>
      </c>
      <c r="D221" s="1" t="s">
        <v>69</v>
      </c>
      <c r="E221" s="1" t="s">
        <v>280</v>
      </c>
    </row>
    <row r="222" spans="1:5" x14ac:dyDescent="0.25">
      <c r="A222" s="1">
        <v>3</v>
      </c>
      <c r="B222" s="1" t="s">
        <v>152</v>
      </c>
      <c r="C222" s="1" t="s">
        <v>64</v>
      </c>
      <c r="D222" s="1" t="s">
        <v>100</v>
      </c>
      <c r="E222" s="1" t="s">
        <v>280</v>
      </c>
    </row>
    <row r="223" spans="1:5" x14ac:dyDescent="0.25">
      <c r="A223" s="1">
        <v>4</v>
      </c>
      <c r="B223" s="1" t="s">
        <v>275</v>
      </c>
      <c r="C223" s="1" t="s">
        <v>64</v>
      </c>
      <c r="D223" s="1" t="s">
        <v>96</v>
      </c>
      <c r="E223" s="1" t="s">
        <v>280</v>
      </c>
    </row>
    <row r="224" spans="1:5" x14ac:dyDescent="0.25">
      <c r="A224" s="1">
        <v>5</v>
      </c>
      <c r="B224" s="1" t="s">
        <v>276</v>
      </c>
      <c r="C224" s="1" t="s">
        <v>82</v>
      </c>
      <c r="D224" s="1" t="s">
        <v>74</v>
      </c>
      <c r="E224" s="1" t="s">
        <v>280</v>
      </c>
    </row>
    <row r="225" spans="1:5" x14ac:dyDescent="0.25">
      <c r="A225" s="1">
        <v>6</v>
      </c>
      <c r="B225" s="1" t="s">
        <v>277</v>
      </c>
      <c r="C225" s="1" t="s">
        <v>82</v>
      </c>
      <c r="D225" s="1" t="s">
        <v>74</v>
      </c>
      <c r="E225" s="1" t="s">
        <v>280</v>
      </c>
    </row>
    <row r="226" spans="1:5" x14ac:dyDescent="0.25">
      <c r="A226" s="1">
        <v>7</v>
      </c>
      <c r="B226" s="1" t="s">
        <v>278</v>
      </c>
      <c r="C226" s="1" t="s">
        <v>82</v>
      </c>
      <c r="D226" s="1" t="s">
        <v>261</v>
      </c>
      <c r="E226" s="1" t="s">
        <v>280</v>
      </c>
    </row>
    <row r="227" spans="1:5" x14ac:dyDescent="0.25">
      <c r="A227" s="1">
        <v>8</v>
      </c>
      <c r="B227" s="1" t="s">
        <v>5</v>
      </c>
      <c r="C227" s="1" t="s">
        <v>64</v>
      </c>
      <c r="D227" s="1" t="s">
        <v>279</v>
      </c>
      <c r="E227" s="1" t="s">
        <v>280</v>
      </c>
    </row>
    <row r="228" spans="1:5" x14ac:dyDescent="0.25">
      <c r="A228" s="1">
        <v>1</v>
      </c>
      <c r="B228" s="1" t="s">
        <v>281</v>
      </c>
      <c r="C228" s="1" t="s">
        <v>76</v>
      </c>
      <c r="D228" s="1" t="s">
        <v>97</v>
      </c>
      <c r="E228" s="1" t="s">
        <v>287</v>
      </c>
    </row>
    <row r="229" spans="1:5" x14ac:dyDescent="0.25">
      <c r="A229" s="1">
        <v>2</v>
      </c>
      <c r="B229" s="1" t="s">
        <v>282</v>
      </c>
      <c r="C229" s="1" t="s">
        <v>76</v>
      </c>
      <c r="D229" s="1" t="s">
        <v>97</v>
      </c>
      <c r="E229" s="1" t="s">
        <v>287</v>
      </c>
    </row>
    <row r="230" spans="1:5" x14ac:dyDescent="0.25">
      <c r="A230" s="1">
        <v>3</v>
      </c>
      <c r="B230" s="1" t="s">
        <v>283</v>
      </c>
      <c r="C230" s="1" t="s">
        <v>76</v>
      </c>
      <c r="D230" s="1" t="s">
        <v>91</v>
      </c>
      <c r="E230" s="1" t="s">
        <v>287</v>
      </c>
    </row>
    <row r="231" spans="1:5" x14ac:dyDescent="0.25">
      <c r="A231" s="1">
        <v>4</v>
      </c>
      <c r="B231" s="1" t="s">
        <v>284</v>
      </c>
      <c r="C231" s="1" t="s">
        <v>76</v>
      </c>
      <c r="D231" s="1" t="s">
        <v>91</v>
      </c>
      <c r="E231" s="1" t="s">
        <v>287</v>
      </c>
    </row>
    <row r="232" spans="1:5" x14ac:dyDescent="0.25">
      <c r="A232" s="1">
        <v>5</v>
      </c>
      <c r="B232" s="1" t="s">
        <v>271</v>
      </c>
      <c r="C232" s="1" t="s">
        <v>70</v>
      </c>
      <c r="D232" s="1" t="s">
        <v>71</v>
      </c>
      <c r="E232" s="1" t="s">
        <v>287</v>
      </c>
    </row>
    <row r="233" spans="1:5" x14ac:dyDescent="0.25">
      <c r="A233" s="1">
        <v>6</v>
      </c>
      <c r="B233" s="1" t="s">
        <v>285</v>
      </c>
      <c r="C233" s="1" t="s">
        <v>76</v>
      </c>
      <c r="D233" s="1" t="s">
        <v>93</v>
      </c>
      <c r="E233" s="1" t="s">
        <v>287</v>
      </c>
    </row>
    <row r="234" spans="1:5" x14ac:dyDescent="0.25">
      <c r="A234" s="1">
        <v>7</v>
      </c>
      <c r="B234" s="1" t="s">
        <v>17</v>
      </c>
      <c r="C234" s="1" t="s">
        <v>76</v>
      </c>
      <c r="E234" s="1" t="s">
        <v>287</v>
      </c>
    </row>
    <row r="235" spans="1:5" x14ac:dyDescent="0.25">
      <c r="A235" s="1">
        <v>8</v>
      </c>
      <c r="B235" s="1" t="s">
        <v>286</v>
      </c>
      <c r="C235" s="1" t="s">
        <v>76</v>
      </c>
      <c r="D235" s="1" t="s">
        <v>93</v>
      </c>
      <c r="E235" s="1" t="s">
        <v>287</v>
      </c>
    </row>
    <row r="236" spans="1:5" x14ac:dyDescent="0.25">
      <c r="A236" s="1">
        <v>1</v>
      </c>
      <c r="B236" s="1" t="s">
        <v>288</v>
      </c>
      <c r="C236" s="1" t="s">
        <v>289</v>
      </c>
      <c r="D236" s="1" t="s">
        <v>74</v>
      </c>
      <c r="E236" s="1" t="s">
        <v>297</v>
      </c>
    </row>
    <row r="237" spans="1:5" x14ac:dyDescent="0.25">
      <c r="A237" s="1">
        <v>2</v>
      </c>
      <c r="B237" s="1" t="s">
        <v>290</v>
      </c>
      <c r="C237" s="1" t="s">
        <v>289</v>
      </c>
      <c r="D237" s="1" t="s">
        <v>100</v>
      </c>
      <c r="E237" s="1" t="s">
        <v>297</v>
      </c>
    </row>
    <row r="238" spans="1:5" x14ac:dyDescent="0.25">
      <c r="A238" s="1">
        <v>3</v>
      </c>
      <c r="B238" s="1" t="s">
        <v>269</v>
      </c>
      <c r="C238" s="1" t="s">
        <v>66</v>
      </c>
      <c r="D238" s="1" t="s">
        <v>74</v>
      </c>
      <c r="E238" s="1" t="s">
        <v>297</v>
      </c>
    </row>
    <row r="239" spans="1:5" x14ac:dyDescent="0.25">
      <c r="A239" s="1">
        <v>4</v>
      </c>
      <c r="B239" s="1" t="s">
        <v>291</v>
      </c>
      <c r="C239" s="1" t="s">
        <v>289</v>
      </c>
      <c r="D239" s="1" t="s">
        <v>201</v>
      </c>
      <c r="E239" s="1" t="s">
        <v>297</v>
      </c>
    </row>
    <row r="240" spans="1:5" x14ac:dyDescent="0.25">
      <c r="A240" s="1">
        <v>5</v>
      </c>
      <c r="B240" s="1" t="s">
        <v>292</v>
      </c>
      <c r="C240" s="1" t="s">
        <v>70</v>
      </c>
      <c r="D240" s="1" t="s">
        <v>96</v>
      </c>
      <c r="E240" s="1" t="s">
        <v>297</v>
      </c>
    </row>
    <row r="241" spans="1:5" x14ac:dyDescent="0.25">
      <c r="A241" s="1">
        <v>6</v>
      </c>
      <c r="B241" s="1" t="s">
        <v>293</v>
      </c>
      <c r="C241" s="1" t="s">
        <v>289</v>
      </c>
      <c r="D241" s="1" t="s">
        <v>84</v>
      </c>
      <c r="E241" s="1" t="s">
        <v>297</v>
      </c>
    </row>
    <row r="242" spans="1:5" x14ac:dyDescent="0.25">
      <c r="A242" s="1">
        <v>7</v>
      </c>
      <c r="B242" s="1" t="s">
        <v>294</v>
      </c>
      <c r="C242" s="1" t="s">
        <v>289</v>
      </c>
      <c r="D242" s="1" t="s">
        <v>165</v>
      </c>
      <c r="E242" s="1" t="s">
        <v>297</v>
      </c>
    </row>
    <row r="243" spans="1:5" x14ac:dyDescent="0.25">
      <c r="A243" s="1">
        <v>8</v>
      </c>
      <c r="B243" s="1" t="s">
        <v>295</v>
      </c>
      <c r="C243" s="1" t="s">
        <v>296</v>
      </c>
      <c r="D243" s="1" t="s">
        <v>93</v>
      </c>
      <c r="E243" s="1" t="s">
        <v>297</v>
      </c>
    </row>
    <row r="244" spans="1:5" x14ac:dyDescent="0.25">
      <c r="A244" s="1">
        <v>1</v>
      </c>
      <c r="B244" s="1" t="s">
        <v>160</v>
      </c>
      <c r="C244" s="1" t="s">
        <v>64</v>
      </c>
      <c r="D244" s="1" t="s">
        <v>96</v>
      </c>
      <c r="E244" s="1" t="s">
        <v>306</v>
      </c>
    </row>
    <row r="245" spans="1:5" x14ac:dyDescent="0.25">
      <c r="A245" s="1">
        <v>2</v>
      </c>
      <c r="B245" s="1" t="s">
        <v>298</v>
      </c>
      <c r="C245" s="1" t="s">
        <v>299</v>
      </c>
      <c r="D245" s="1" t="s">
        <v>81</v>
      </c>
      <c r="E245" s="1" t="s">
        <v>306</v>
      </c>
    </row>
    <row r="246" spans="1:5" x14ac:dyDescent="0.25">
      <c r="A246" s="1">
        <v>3</v>
      </c>
      <c r="B246" s="1" t="s">
        <v>275</v>
      </c>
      <c r="C246" s="1" t="s">
        <v>64</v>
      </c>
      <c r="D246" s="1" t="s">
        <v>88</v>
      </c>
      <c r="E246" s="1" t="s">
        <v>306</v>
      </c>
    </row>
    <row r="247" spans="1:5" x14ac:dyDescent="0.25">
      <c r="A247" s="1">
        <v>4</v>
      </c>
      <c r="B247" s="1" t="s">
        <v>300</v>
      </c>
      <c r="C247" s="1" t="s">
        <v>299</v>
      </c>
      <c r="D247" s="1" t="s">
        <v>100</v>
      </c>
      <c r="E247" s="1" t="s">
        <v>306</v>
      </c>
    </row>
    <row r="248" spans="1:5" x14ac:dyDescent="0.25">
      <c r="A248" s="1">
        <v>5</v>
      </c>
      <c r="B248" s="1" t="s">
        <v>301</v>
      </c>
      <c r="C248" s="1" t="s">
        <v>64</v>
      </c>
      <c r="D248" s="1" t="s">
        <v>302</v>
      </c>
      <c r="E248" s="1" t="s">
        <v>306</v>
      </c>
    </row>
    <row r="249" spans="1:5" x14ac:dyDescent="0.25">
      <c r="A249" s="1">
        <v>6</v>
      </c>
      <c r="B249" s="1" t="s">
        <v>303</v>
      </c>
      <c r="C249" s="1" t="s">
        <v>299</v>
      </c>
      <c r="D249" s="1" t="s">
        <v>74</v>
      </c>
      <c r="E249" s="1" t="s">
        <v>306</v>
      </c>
    </row>
    <row r="250" spans="1:5" x14ac:dyDescent="0.25">
      <c r="A250" s="1">
        <v>7</v>
      </c>
      <c r="B250" s="1" t="s">
        <v>304</v>
      </c>
      <c r="C250" s="1" t="s">
        <v>299</v>
      </c>
      <c r="D250" s="1" t="s">
        <v>67</v>
      </c>
      <c r="E250" s="1" t="s">
        <v>306</v>
      </c>
    </row>
    <row r="251" spans="1:5" x14ac:dyDescent="0.25">
      <c r="A251" s="1">
        <v>8</v>
      </c>
      <c r="B251" s="1" t="s">
        <v>305</v>
      </c>
      <c r="C251" s="1" t="s">
        <v>82</v>
      </c>
      <c r="D251" s="1" t="s">
        <v>81</v>
      </c>
      <c r="E251" s="1" t="s">
        <v>306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SUM-LOT Tournament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 Stahl</dc:creator>
  <cp:lastModifiedBy>Kale Stahl</cp:lastModifiedBy>
  <dcterms:created xsi:type="dcterms:W3CDTF">2025-11-29T16:30:11Z</dcterms:created>
  <dcterms:modified xsi:type="dcterms:W3CDTF">2025-11-29T23:29:38Z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2025-11-29T18:07:03Z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d83b3723-c890-490a-9812-1ac0c1196a0d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